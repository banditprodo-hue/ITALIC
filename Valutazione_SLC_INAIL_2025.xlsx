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-LATITUDE\Desktop\SLC INAIL\"/>
    </mc:Choice>
  </mc:AlternateContent>
  <xr:revisionPtr revIDLastSave="0" documentId="13_ncr:1_{4C76F34E-692E-4166-ACD6-86D35CC2BD9D}" xr6:coauthVersionLast="47" xr6:coauthVersionMax="47" xr10:uidLastSave="{00000000-0000-0000-0000-000000000000}"/>
  <bookViews>
    <workbookView xWindow="-120" yWindow="-120" windowWidth="29040" windowHeight="15720" tabRatio="500" firstSheet="1" activeTab="3" xr2:uid="{00000000-000D-0000-FFFF-FFFF00000000}"/>
  </bookViews>
  <sheets>
    <sheet name="README_Istruzioni" sheetId="1" r:id="rId1"/>
    <sheet name="Configurazione" sheetId="2" r:id="rId2"/>
    <sheet name="Gruppi_Omogenei" sheetId="3" r:id="rId3"/>
    <sheet name="DataEntry_Standard" sheetId="4" r:id="rId4"/>
    <sheet name="DataEntry_SmartICT" sheetId="5" r:id="rId5"/>
    <sheet name="Calcolo_Punteggi" sheetId="6" r:id="rId6"/>
    <sheet name="Aggregazione_Gruppi" sheetId="7" r:id="rId7"/>
    <sheet name="Classificazione_Rischio" sheetId="8" r:id="rId8"/>
    <sheet name="Report_Risultati" sheetId="9" r:id="rId9"/>
    <sheet name="Privacy_Log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3" i="10" l="1"/>
  <c r="D53" i="10"/>
  <c r="C53" i="10"/>
  <c r="B53" i="10"/>
  <c r="A53" i="10"/>
  <c r="F53" i="10" s="1"/>
  <c r="E52" i="10"/>
  <c r="D52" i="10"/>
  <c r="C52" i="10"/>
  <c r="B52" i="10"/>
  <c r="A52" i="10"/>
  <c r="F52" i="10" s="1"/>
  <c r="E51" i="10"/>
  <c r="D51" i="10"/>
  <c r="C51" i="10"/>
  <c r="B51" i="10"/>
  <c r="A51" i="10"/>
  <c r="F51" i="10" s="1"/>
  <c r="E50" i="10"/>
  <c r="D50" i="10"/>
  <c r="C50" i="10"/>
  <c r="B50" i="10"/>
  <c r="A50" i="10"/>
  <c r="F50" i="10" s="1"/>
  <c r="E49" i="10"/>
  <c r="D49" i="10"/>
  <c r="C49" i="10"/>
  <c r="B49" i="10"/>
  <c r="A49" i="10"/>
  <c r="F49" i="10" s="1"/>
  <c r="E48" i="10"/>
  <c r="D48" i="10"/>
  <c r="C48" i="10"/>
  <c r="B48" i="10"/>
  <c r="A48" i="10"/>
  <c r="F48" i="10" s="1"/>
  <c r="E47" i="10"/>
  <c r="D47" i="10"/>
  <c r="C47" i="10"/>
  <c r="B47" i="10"/>
  <c r="A47" i="10"/>
  <c r="F47" i="10" s="1"/>
  <c r="E46" i="10"/>
  <c r="D46" i="10"/>
  <c r="C46" i="10"/>
  <c r="B46" i="10"/>
  <c r="A46" i="10"/>
  <c r="F46" i="10" s="1"/>
  <c r="E45" i="10"/>
  <c r="D45" i="10"/>
  <c r="C45" i="10"/>
  <c r="B45" i="10"/>
  <c r="A45" i="10"/>
  <c r="F45" i="10" s="1"/>
  <c r="E44" i="10"/>
  <c r="D44" i="10"/>
  <c r="C44" i="10"/>
  <c r="B44" i="10"/>
  <c r="A44" i="10"/>
  <c r="F44" i="10" s="1"/>
  <c r="E43" i="10"/>
  <c r="D43" i="10"/>
  <c r="C43" i="10"/>
  <c r="B43" i="10"/>
  <c r="A43" i="10"/>
  <c r="F43" i="10" s="1"/>
  <c r="E42" i="10"/>
  <c r="D42" i="10"/>
  <c r="C42" i="10"/>
  <c r="B42" i="10"/>
  <c r="A42" i="10"/>
  <c r="F42" i="10" s="1"/>
  <c r="E41" i="10"/>
  <c r="D41" i="10"/>
  <c r="C41" i="10"/>
  <c r="B41" i="10"/>
  <c r="A41" i="10"/>
  <c r="F41" i="10" s="1"/>
  <c r="E40" i="10"/>
  <c r="D40" i="10"/>
  <c r="C40" i="10"/>
  <c r="B40" i="10"/>
  <c r="A40" i="10"/>
  <c r="F40" i="10" s="1"/>
  <c r="E39" i="10"/>
  <c r="D39" i="10"/>
  <c r="C39" i="10"/>
  <c r="B39" i="10"/>
  <c r="A39" i="10"/>
  <c r="F39" i="10" s="1"/>
  <c r="E38" i="10"/>
  <c r="D38" i="10"/>
  <c r="C38" i="10"/>
  <c r="B38" i="10"/>
  <c r="A38" i="10"/>
  <c r="F38" i="10" s="1"/>
  <c r="E37" i="10"/>
  <c r="D37" i="10"/>
  <c r="C37" i="10"/>
  <c r="B37" i="10"/>
  <c r="A37" i="10"/>
  <c r="F37" i="10" s="1"/>
  <c r="E36" i="10"/>
  <c r="D36" i="10"/>
  <c r="C36" i="10"/>
  <c r="B36" i="10"/>
  <c r="A36" i="10"/>
  <c r="F36" i="10" s="1"/>
  <c r="E35" i="10"/>
  <c r="D35" i="10"/>
  <c r="C35" i="10"/>
  <c r="B35" i="10"/>
  <c r="A35" i="10"/>
  <c r="F35" i="10" s="1"/>
  <c r="E34" i="10"/>
  <c r="D34" i="10"/>
  <c r="C34" i="10"/>
  <c r="B34" i="10"/>
  <c r="A34" i="10"/>
  <c r="F34" i="10" s="1"/>
  <c r="E33" i="10"/>
  <c r="D33" i="10"/>
  <c r="C33" i="10"/>
  <c r="B33" i="10"/>
  <c r="A33" i="10"/>
  <c r="F33" i="10" s="1"/>
  <c r="E32" i="10"/>
  <c r="D32" i="10"/>
  <c r="C32" i="10"/>
  <c r="B32" i="10"/>
  <c r="A32" i="10"/>
  <c r="F32" i="10" s="1"/>
  <c r="E31" i="10"/>
  <c r="D31" i="10"/>
  <c r="C31" i="10"/>
  <c r="B31" i="10"/>
  <c r="A31" i="10"/>
  <c r="F31" i="10" s="1"/>
  <c r="E30" i="10"/>
  <c r="D30" i="10"/>
  <c r="C30" i="10"/>
  <c r="B30" i="10"/>
  <c r="A30" i="10"/>
  <c r="F30" i="10" s="1"/>
  <c r="E29" i="10"/>
  <c r="D29" i="10"/>
  <c r="C29" i="10"/>
  <c r="B29" i="10"/>
  <c r="A29" i="10"/>
  <c r="F29" i="10" s="1"/>
  <c r="E28" i="10"/>
  <c r="D28" i="10"/>
  <c r="C28" i="10"/>
  <c r="B28" i="10"/>
  <c r="A28" i="10"/>
  <c r="F28" i="10" s="1"/>
  <c r="E27" i="10"/>
  <c r="D27" i="10"/>
  <c r="C27" i="10"/>
  <c r="B27" i="10"/>
  <c r="A27" i="10"/>
  <c r="F27" i="10" s="1"/>
  <c r="E26" i="10"/>
  <c r="D26" i="10"/>
  <c r="C26" i="10"/>
  <c r="B26" i="10"/>
  <c r="A26" i="10"/>
  <c r="F26" i="10" s="1"/>
  <c r="E25" i="10"/>
  <c r="D25" i="10"/>
  <c r="C25" i="10"/>
  <c r="B25" i="10"/>
  <c r="A25" i="10"/>
  <c r="F25" i="10" s="1"/>
  <c r="E24" i="10"/>
  <c r="D24" i="10"/>
  <c r="C24" i="10"/>
  <c r="B24" i="10"/>
  <c r="A24" i="10"/>
  <c r="F24" i="10" s="1"/>
  <c r="E23" i="10"/>
  <c r="D23" i="10"/>
  <c r="C23" i="10"/>
  <c r="B23" i="10"/>
  <c r="A23" i="10"/>
  <c r="F23" i="10" s="1"/>
  <c r="E22" i="10"/>
  <c r="D22" i="10"/>
  <c r="C22" i="10"/>
  <c r="B22" i="10"/>
  <c r="A22" i="10"/>
  <c r="F22" i="10" s="1"/>
  <c r="E21" i="10"/>
  <c r="D21" i="10"/>
  <c r="C21" i="10"/>
  <c r="B21" i="10"/>
  <c r="A21" i="10"/>
  <c r="F21" i="10" s="1"/>
  <c r="E20" i="10"/>
  <c r="D20" i="10"/>
  <c r="C20" i="10"/>
  <c r="B20" i="10"/>
  <c r="A20" i="10"/>
  <c r="F20" i="10" s="1"/>
  <c r="E19" i="10"/>
  <c r="D19" i="10"/>
  <c r="C19" i="10"/>
  <c r="B19" i="10"/>
  <c r="A19" i="10"/>
  <c r="F19" i="10" s="1"/>
  <c r="E18" i="10"/>
  <c r="D18" i="10"/>
  <c r="C18" i="10"/>
  <c r="B18" i="10"/>
  <c r="A18" i="10"/>
  <c r="F18" i="10" s="1"/>
  <c r="E17" i="10"/>
  <c r="D17" i="10"/>
  <c r="C17" i="10"/>
  <c r="B17" i="10"/>
  <c r="A17" i="10"/>
  <c r="F17" i="10" s="1"/>
  <c r="E16" i="10"/>
  <c r="D16" i="10"/>
  <c r="C16" i="10"/>
  <c r="B16" i="10"/>
  <c r="A16" i="10"/>
  <c r="F16" i="10" s="1"/>
  <c r="E15" i="10"/>
  <c r="D15" i="10"/>
  <c r="C15" i="10"/>
  <c r="B15" i="10"/>
  <c r="A15" i="10"/>
  <c r="F15" i="10" s="1"/>
  <c r="E14" i="10"/>
  <c r="D14" i="10"/>
  <c r="C14" i="10"/>
  <c r="B14" i="10"/>
  <c r="A14" i="10"/>
  <c r="F14" i="10" s="1"/>
  <c r="E13" i="10"/>
  <c r="D13" i="10"/>
  <c r="C13" i="10"/>
  <c r="B13" i="10"/>
  <c r="A13" i="10"/>
  <c r="F13" i="10" s="1"/>
  <c r="E12" i="10"/>
  <c r="D12" i="10"/>
  <c r="C12" i="10"/>
  <c r="B12" i="10"/>
  <c r="A12" i="10"/>
  <c r="F12" i="10" s="1"/>
  <c r="E11" i="10"/>
  <c r="D11" i="10"/>
  <c r="C11" i="10"/>
  <c r="B11" i="10"/>
  <c r="A11" i="10"/>
  <c r="F11" i="10" s="1"/>
  <c r="E10" i="10"/>
  <c r="D10" i="10"/>
  <c r="C10" i="10"/>
  <c r="B10" i="10"/>
  <c r="A10" i="10"/>
  <c r="F10" i="10" s="1"/>
  <c r="E9" i="10"/>
  <c r="D9" i="10"/>
  <c r="C9" i="10"/>
  <c r="B9" i="10"/>
  <c r="A9" i="10"/>
  <c r="F9" i="10" s="1"/>
  <c r="E8" i="10"/>
  <c r="D8" i="10"/>
  <c r="C8" i="10"/>
  <c r="B8" i="10"/>
  <c r="A8" i="10"/>
  <c r="F8" i="10" s="1"/>
  <c r="E7" i="10"/>
  <c r="D7" i="10"/>
  <c r="C7" i="10"/>
  <c r="B7" i="10"/>
  <c r="A7" i="10"/>
  <c r="F7" i="10" s="1"/>
  <c r="E6" i="10"/>
  <c r="D6" i="10"/>
  <c r="C6" i="10"/>
  <c r="B6" i="10"/>
  <c r="A6" i="10"/>
  <c r="F6" i="10" s="1"/>
  <c r="E5" i="10"/>
  <c r="D5" i="10"/>
  <c r="C5" i="10"/>
  <c r="B5" i="10"/>
  <c r="A5" i="10"/>
  <c r="F5" i="10" s="1"/>
  <c r="E4" i="10"/>
  <c r="D4" i="10"/>
  <c r="C4" i="10"/>
  <c r="B4" i="10"/>
  <c r="A4" i="10"/>
  <c r="F4" i="10" s="1"/>
  <c r="B31" i="9"/>
  <c r="B27" i="9"/>
  <c r="B23" i="9"/>
  <c r="B21" i="9"/>
  <c r="B19" i="9"/>
  <c r="B8" i="9"/>
  <c r="B7" i="9"/>
  <c r="B6" i="9"/>
  <c r="B5" i="9"/>
  <c r="B4" i="9"/>
  <c r="B3" i="9"/>
  <c r="B22" i="8"/>
  <c r="B18" i="8"/>
  <c r="A15" i="8"/>
  <c r="A24" i="9" s="1"/>
  <c r="A12" i="8"/>
  <c r="A21" i="9" s="1"/>
  <c r="B22" i="7"/>
  <c r="A22" i="7"/>
  <c r="B21" i="7"/>
  <c r="B21" i="8" s="1"/>
  <c r="B30" i="9" s="1"/>
  <c r="A21" i="7"/>
  <c r="A21" i="8" s="1"/>
  <c r="A30" i="9" s="1"/>
  <c r="B20" i="7"/>
  <c r="B20" i="8" s="1"/>
  <c r="B29" i="9" s="1"/>
  <c r="A20" i="7"/>
  <c r="B19" i="7"/>
  <c r="B19" i="8" s="1"/>
  <c r="B28" i="9" s="1"/>
  <c r="A19" i="7"/>
  <c r="B18" i="7"/>
  <c r="A18" i="7"/>
  <c r="A18" i="8" s="1"/>
  <c r="A27" i="9" s="1"/>
  <c r="B17" i="7"/>
  <c r="B17" i="8" s="1"/>
  <c r="B26" i="9" s="1"/>
  <c r="A17" i="7"/>
  <c r="K17" i="7" s="1"/>
  <c r="B16" i="7"/>
  <c r="B16" i="8" s="1"/>
  <c r="B25" i="9" s="1"/>
  <c r="A16" i="7"/>
  <c r="B15" i="7"/>
  <c r="B15" i="8" s="1"/>
  <c r="B24" i="9" s="1"/>
  <c r="A15" i="7"/>
  <c r="B14" i="7"/>
  <c r="B14" i="8" s="1"/>
  <c r="A14" i="7"/>
  <c r="B13" i="7"/>
  <c r="B13" i="8" s="1"/>
  <c r="B22" i="9" s="1"/>
  <c r="A13" i="7"/>
  <c r="B12" i="7"/>
  <c r="B12" i="8" s="1"/>
  <c r="A12" i="7"/>
  <c r="H11" i="7"/>
  <c r="B11" i="7"/>
  <c r="B11" i="8" s="1"/>
  <c r="B20" i="9" s="1"/>
  <c r="A11" i="7"/>
  <c r="A11" i="8" s="1"/>
  <c r="A20" i="9" s="1"/>
  <c r="B10" i="7"/>
  <c r="B10" i="8" s="1"/>
  <c r="A10" i="7"/>
  <c r="B9" i="7"/>
  <c r="B9" i="8" s="1"/>
  <c r="B18" i="9" s="1"/>
  <c r="A9" i="7"/>
  <c r="B8" i="7"/>
  <c r="B8" i="8" s="1"/>
  <c r="B17" i="9" s="1"/>
  <c r="A8" i="7"/>
  <c r="B7" i="7"/>
  <c r="B7" i="8" s="1"/>
  <c r="B16" i="9" s="1"/>
  <c r="A7" i="7"/>
  <c r="A7" i="8" s="1"/>
  <c r="A16" i="9" s="1"/>
  <c r="B6" i="7"/>
  <c r="B6" i="8" s="1"/>
  <c r="B15" i="9" s="1"/>
  <c r="A6" i="7"/>
  <c r="B5" i="7"/>
  <c r="B5" i="8" s="1"/>
  <c r="B14" i="9" s="1"/>
  <c r="A5" i="7"/>
  <c r="A5" i="8" s="1"/>
  <c r="A14" i="9" s="1"/>
  <c r="B4" i="7"/>
  <c r="B4" i="8" s="1"/>
  <c r="B13" i="9" s="1"/>
  <c r="A4" i="7"/>
  <c r="B3" i="7"/>
  <c r="B3" i="8" s="1"/>
  <c r="B12" i="9" s="1"/>
  <c r="A3" i="7"/>
  <c r="A3" i="8" s="1"/>
  <c r="A12" i="9" s="1"/>
  <c r="M52" i="6"/>
  <c r="J52" i="6"/>
  <c r="I52" i="6"/>
  <c r="G52" i="6"/>
  <c r="F52" i="6"/>
  <c r="E52" i="6"/>
  <c r="D52" i="6"/>
  <c r="C52" i="6"/>
  <c r="B52" i="6"/>
  <c r="A52" i="6"/>
  <c r="J51" i="6"/>
  <c r="M51" i="6" s="1"/>
  <c r="I51" i="6"/>
  <c r="H51" i="6"/>
  <c r="K51" i="6" s="1"/>
  <c r="G51" i="6"/>
  <c r="F51" i="6"/>
  <c r="E51" i="6"/>
  <c r="D51" i="6"/>
  <c r="C51" i="6"/>
  <c r="B51" i="6"/>
  <c r="A51" i="6"/>
  <c r="M50" i="6"/>
  <c r="J50" i="6"/>
  <c r="I50" i="6"/>
  <c r="G50" i="6"/>
  <c r="F50" i="6"/>
  <c r="E50" i="6"/>
  <c r="D50" i="6"/>
  <c r="H50" i="6" s="1"/>
  <c r="C50" i="6"/>
  <c r="B50" i="6"/>
  <c r="A50" i="6"/>
  <c r="J49" i="6"/>
  <c r="M49" i="6" s="1"/>
  <c r="I49" i="6"/>
  <c r="G49" i="6"/>
  <c r="F49" i="6"/>
  <c r="E49" i="6"/>
  <c r="D49" i="6"/>
  <c r="C49" i="6"/>
  <c r="B49" i="6"/>
  <c r="A49" i="6"/>
  <c r="J48" i="6"/>
  <c r="M48" i="6" s="1"/>
  <c r="I48" i="6"/>
  <c r="G48" i="6"/>
  <c r="F48" i="6"/>
  <c r="E48" i="6"/>
  <c r="D48" i="6"/>
  <c r="C48" i="6"/>
  <c r="B48" i="6"/>
  <c r="A48" i="6"/>
  <c r="H48" i="6" s="1"/>
  <c r="M47" i="6"/>
  <c r="J47" i="6"/>
  <c r="I47" i="6"/>
  <c r="G47" i="6"/>
  <c r="F47" i="6"/>
  <c r="E47" i="6"/>
  <c r="D47" i="6"/>
  <c r="C47" i="6"/>
  <c r="B47" i="6"/>
  <c r="A47" i="6"/>
  <c r="J46" i="6"/>
  <c r="M46" i="6" s="1"/>
  <c r="I46" i="6"/>
  <c r="G46" i="6"/>
  <c r="F46" i="6"/>
  <c r="E46" i="6"/>
  <c r="D46" i="6"/>
  <c r="C46" i="6"/>
  <c r="B46" i="6"/>
  <c r="A46" i="6"/>
  <c r="H46" i="6" s="1"/>
  <c r="L46" i="6" s="1"/>
  <c r="M45" i="6"/>
  <c r="J45" i="6"/>
  <c r="I45" i="6"/>
  <c r="H45" i="6"/>
  <c r="G45" i="6"/>
  <c r="F45" i="6"/>
  <c r="E45" i="6"/>
  <c r="D45" i="6"/>
  <c r="C45" i="6"/>
  <c r="B45" i="6"/>
  <c r="A45" i="6"/>
  <c r="M44" i="6"/>
  <c r="J44" i="6"/>
  <c r="I44" i="6"/>
  <c r="G44" i="6"/>
  <c r="F44" i="6"/>
  <c r="E44" i="6"/>
  <c r="D44" i="6"/>
  <c r="C44" i="6"/>
  <c r="B44" i="6"/>
  <c r="A44" i="6"/>
  <c r="J43" i="6"/>
  <c r="M43" i="6" s="1"/>
  <c r="I43" i="6"/>
  <c r="H43" i="6"/>
  <c r="K43" i="6" s="1"/>
  <c r="G43" i="6"/>
  <c r="F43" i="6"/>
  <c r="E43" i="6"/>
  <c r="D43" i="6"/>
  <c r="C43" i="6"/>
  <c r="B43" i="6"/>
  <c r="A43" i="6"/>
  <c r="M42" i="6"/>
  <c r="J42" i="6"/>
  <c r="I42" i="6"/>
  <c r="G42" i="6"/>
  <c r="F42" i="6"/>
  <c r="E42" i="6"/>
  <c r="D42" i="6"/>
  <c r="H42" i="6" s="1"/>
  <c r="C42" i="6"/>
  <c r="B42" i="6"/>
  <c r="A42" i="6"/>
  <c r="J41" i="6"/>
  <c r="M41" i="6" s="1"/>
  <c r="I41" i="6"/>
  <c r="G41" i="6"/>
  <c r="F41" i="6"/>
  <c r="E41" i="6"/>
  <c r="D41" i="6"/>
  <c r="C41" i="6"/>
  <c r="B41" i="6"/>
  <c r="A41" i="6"/>
  <c r="J40" i="6"/>
  <c r="M40" i="6" s="1"/>
  <c r="I40" i="6"/>
  <c r="G40" i="6"/>
  <c r="F40" i="6"/>
  <c r="E40" i="6"/>
  <c r="D40" i="6"/>
  <c r="C40" i="6"/>
  <c r="B40" i="6"/>
  <c r="A40" i="6"/>
  <c r="H40" i="6" s="1"/>
  <c r="M39" i="6"/>
  <c r="J39" i="6"/>
  <c r="I39" i="6"/>
  <c r="G39" i="6"/>
  <c r="F39" i="6"/>
  <c r="E39" i="6"/>
  <c r="D39" i="6"/>
  <c r="C39" i="6"/>
  <c r="B39" i="6"/>
  <c r="A39" i="6"/>
  <c r="J38" i="6"/>
  <c r="M38" i="6" s="1"/>
  <c r="I38" i="6"/>
  <c r="G38" i="6"/>
  <c r="F38" i="6"/>
  <c r="E38" i="6"/>
  <c r="D38" i="6"/>
  <c r="C38" i="6"/>
  <c r="B38" i="6"/>
  <c r="A38" i="6"/>
  <c r="H38" i="6" s="1"/>
  <c r="L38" i="6" s="1"/>
  <c r="M37" i="6"/>
  <c r="J37" i="6"/>
  <c r="I37" i="6"/>
  <c r="G37" i="6"/>
  <c r="H37" i="6" s="1"/>
  <c r="F37" i="6"/>
  <c r="E37" i="6"/>
  <c r="D37" i="6"/>
  <c r="C37" i="6"/>
  <c r="B37" i="6"/>
  <c r="A37" i="6"/>
  <c r="M36" i="6"/>
  <c r="J36" i="6"/>
  <c r="I36" i="6"/>
  <c r="G36" i="6"/>
  <c r="F36" i="6"/>
  <c r="E36" i="6"/>
  <c r="D36" i="6"/>
  <c r="C36" i="6"/>
  <c r="B36" i="6"/>
  <c r="A36" i="6"/>
  <c r="J35" i="6"/>
  <c r="M35" i="6" s="1"/>
  <c r="I35" i="6"/>
  <c r="G35" i="6"/>
  <c r="F35" i="6"/>
  <c r="E35" i="6"/>
  <c r="D35" i="6"/>
  <c r="C35" i="6"/>
  <c r="B35" i="6"/>
  <c r="A35" i="6"/>
  <c r="H35" i="6" s="1"/>
  <c r="M34" i="6"/>
  <c r="J34" i="6"/>
  <c r="I34" i="6"/>
  <c r="G34" i="6"/>
  <c r="F34" i="6"/>
  <c r="E34" i="6"/>
  <c r="D34" i="6"/>
  <c r="H34" i="6" s="1"/>
  <c r="C34" i="6"/>
  <c r="B34" i="6"/>
  <c r="A34" i="6"/>
  <c r="J33" i="6"/>
  <c r="M33" i="6" s="1"/>
  <c r="I33" i="6"/>
  <c r="G33" i="6"/>
  <c r="F33" i="6"/>
  <c r="E33" i="6"/>
  <c r="D33" i="6"/>
  <c r="C33" i="6"/>
  <c r="B33" i="6"/>
  <c r="A33" i="6"/>
  <c r="J32" i="6"/>
  <c r="M32" i="6" s="1"/>
  <c r="I32" i="6"/>
  <c r="G32" i="6"/>
  <c r="F32" i="6"/>
  <c r="E32" i="6"/>
  <c r="D32" i="6"/>
  <c r="C32" i="6"/>
  <c r="B32" i="6"/>
  <c r="A32" i="6"/>
  <c r="H32" i="6" s="1"/>
  <c r="M31" i="6"/>
  <c r="J31" i="6"/>
  <c r="I31" i="6"/>
  <c r="G31" i="6"/>
  <c r="F31" i="6"/>
  <c r="E31" i="6"/>
  <c r="D31" i="6"/>
  <c r="C31" i="6"/>
  <c r="B31" i="6"/>
  <c r="A31" i="6"/>
  <c r="J30" i="6"/>
  <c r="M30" i="6" s="1"/>
  <c r="I30" i="6"/>
  <c r="G30" i="6"/>
  <c r="F30" i="6"/>
  <c r="E30" i="6"/>
  <c r="D30" i="6"/>
  <c r="C30" i="6"/>
  <c r="B30" i="6"/>
  <c r="A30" i="6"/>
  <c r="H30" i="6" s="1"/>
  <c r="M29" i="6"/>
  <c r="J29" i="6"/>
  <c r="I29" i="6"/>
  <c r="G29" i="6"/>
  <c r="F29" i="6"/>
  <c r="E29" i="6"/>
  <c r="D29" i="6"/>
  <c r="C29" i="6"/>
  <c r="B29" i="6"/>
  <c r="A29" i="6"/>
  <c r="H29" i="6" s="1"/>
  <c r="J28" i="6"/>
  <c r="M28" i="6" s="1"/>
  <c r="I28" i="6"/>
  <c r="G28" i="6"/>
  <c r="F28" i="6"/>
  <c r="E28" i="6"/>
  <c r="D28" i="6"/>
  <c r="C28" i="6"/>
  <c r="B28" i="6"/>
  <c r="A28" i="6"/>
  <c r="J27" i="6"/>
  <c r="M27" i="6" s="1"/>
  <c r="I27" i="6"/>
  <c r="G27" i="6"/>
  <c r="F27" i="6"/>
  <c r="E27" i="6"/>
  <c r="D27" i="6"/>
  <c r="C27" i="6"/>
  <c r="H27" i="6" s="1"/>
  <c r="B27" i="6"/>
  <c r="A27" i="6"/>
  <c r="M26" i="6"/>
  <c r="J26" i="6"/>
  <c r="I26" i="6"/>
  <c r="G26" i="6"/>
  <c r="F26" i="6"/>
  <c r="E26" i="6"/>
  <c r="D26" i="6"/>
  <c r="H26" i="6" s="1"/>
  <c r="C26" i="6"/>
  <c r="B26" i="6"/>
  <c r="A26" i="6"/>
  <c r="M25" i="6"/>
  <c r="J25" i="6"/>
  <c r="I25" i="6"/>
  <c r="G25" i="6"/>
  <c r="F25" i="6"/>
  <c r="E25" i="6"/>
  <c r="D25" i="6"/>
  <c r="C25" i="6"/>
  <c r="B25" i="6"/>
  <c r="A25" i="6"/>
  <c r="H25" i="6" s="1"/>
  <c r="J24" i="6"/>
  <c r="M24" i="6" s="1"/>
  <c r="I24" i="6"/>
  <c r="G24" i="6"/>
  <c r="H24" i="6" s="1"/>
  <c r="F24" i="6"/>
  <c r="E24" i="6"/>
  <c r="D24" i="6"/>
  <c r="C24" i="6"/>
  <c r="B24" i="6"/>
  <c r="A24" i="6"/>
  <c r="M23" i="6"/>
  <c r="J23" i="6"/>
  <c r="I23" i="6"/>
  <c r="G23" i="6"/>
  <c r="F23" i="6"/>
  <c r="E23" i="6"/>
  <c r="D23" i="6"/>
  <c r="C23" i="6"/>
  <c r="H23" i="6" s="1"/>
  <c r="L23" i="6" s="1"/>
  <c r="B23" i="6"/>
  <c r="A23" i="6"/>
  <c r="J22" i="6"/>
  <c r="M22" i="6" s="1"/>
  <c r="I22" i="6"/>
  <c r="G22" i="6"/>
  <c r="F22" i="6"/>
  <c r="E22" i="6"/>
  <c r="D22" i="6"/>
  <c r="H22" i="6" s="1"/>
  <c r="C22" i="6"/>
  <c r="B22" i="6"/>
  <c r="A22" i="6"/>
  <c r="M21" i="6"/>
  <c r="L21" i="6"/>
  <c r="J21" i="6"/>
  <c r="I21" i="6"/>
  <c r="H21" i="6"/>
  <c r="K21" i="6" s="1"/>
  <c r="G21" i="6"/>
  <c r="F21" i="6"/>
  <c r="E21" i="6"/>
  <c r="D21" i="6"/>
  <c r="C21" i="6"/>
  <c r="B21" i="6"/>
  <c r="A21" i="6"/>
  <c r="M20" i="6"/>
  <c r="J20" i="6"/>
  <c r="I20" i="6"/>
  <c r="G20" i="6"/>
  <c r="F20" i="6"/>
  <c r="E20" i="6"/>
  <c r="D20" i="6"/>
  <c r="C20" i="6"/>
  <c r="B20" i="6"/>
  <c r="A20" i="6"/>
  <c r="J19" i="6"/>
  <c r="M19" i="6" s="1"/>
  <c r="I19" i="6"/>
  <c r="G19" i="6"/>
  <c r="F19" i="6"/>
  <c r="E19" i="6"/>
  <c r="D19" i="6"/>
  <c r="C19" i="6"/>
  <c r="H19" i="6" s="1"/>
  <c r="B19" i="6"/>
  <c r="A19" i="6"/>
  <c r="M18" i="6"/>
  <c r="J18" i="6"/>
  <c r="I18" i="6"/>
  <c r="G18" i="6"/>
  <c r="F18" i="6"/>
  <c r="E18" i="6"/>
  <c r="D18" i="6"/>
  <c r="H18" i="6" s="1"/>
  <c r="C18" i="6"/>
  <c r="B18" i="6"/>
  <c r="A18" i="6"/>
  <c r="M17" i="6"/>
  <c r="J17" i="6"/>
  <c r="I17" i="6"/>
  <c r="G17" i="6"/>
  <c r="F17" i="6"/>
  <c r="E17" i="6"/>
  <c r="D17" i="6"/>
  <c r="C17" i="6"/>
  <c r="B17" i="6"/>
  <c r="A17" i="6"/>
  <c r="H17" i="6" s="1"/>
  <c r="J16" i="6"/>
  <c r="M16" i="6" s="1"/>
  <c r="I16" i="6"/>
  <c r="G16" i="6"/>
  <c r="H16" i="6" s="1"/>
  <c r="F16" i="6"/>
  <c r="E16" i="6"/>
  <c r="D16" i="6"/>
  <c r="C16" i="6"/>
  <c r="B16" i="6"/>
  <c r="A16" i="6"/>
  <c r="M15" i="6"/>
  <c r="J15" i="6"/>
  <c r="I15" i="6"/>
  <c r="G15" i="6"/>
  <c r="F15" i="6"/>
  <c r="E15" i="6"/>
  <c r="D15" i="6"/>
  <c r="C15" i="6"/>
  <c r="H15" i="6" s="1"/>
  <c r="L15" i="6" s="1"/>
  <c r="B15" i="6"/>
  <c r="A15" i="6"/>
  <c r="J14" i="6"/>
  <c r="M14" i="6" s="1"/>
  <c r="I14" i="6"/>
  <c r="G14" i="6"/>
  <c r="F14" i="6"/>
  <c r="E14" i="6"/>
  <c r="D14" i="6"/>
  <c r="H14" i="6" s="1"/>
  <c r="C14" i="6"/>
  <c r="B14" i="6"/>
  <c r="A14" i="6"/>
  <c r="M13" i="6"/>
  <c r="L13" i="6"/>
  <c r="J13" i="6"/>
  <c r="I13" i="6"/>
  <c r="H13" i="6"/>
  <c r="K13" i="6" s="1"/>
  <c r="G13" i="6"/>
  <c r="F13" i="6"/>
  <c r="E13" i="6"/>
  <c r="D13" i="6"/>
  <c r="C13" i="6"/>
  <c r="B13" i="6"/>
  <c r="A13" i="6"/>
  <c r="M12" i="6"/>
  <c r="J12" i="6"/>
  <c r="I12" i="6"/>
  <c r="G12" i="6"/>
  <c r="F12" i="6"/>
  <c r="E12" i="6"/>
  <c r="D12" i="6"/>
  <c r="C12" i="6"/>
  <c r="B12" i="6"/>
  <c r="A12" i="6"/>
  <c r="J11" i="6"/>
  <c r="M11" i="6" s="1"/>
  <c r="I11" i="6"/>
  <c r="G11" i="6"/>
  <c r="F11" i="6"/>
  <c r="E11" i="6"/>
  <c r="D11" i="6"/>
  <c r="C11" i="6"/>
  <c r="H11" i="6" s="1"/>
  <c r="B11" i="6"/>
  <c r="A11" i="6"/>
  <c r="M10" i="6"/>
  <c r="J10" i="6"/>
  <c r="I10" i="6"/>
  <c r="G10" i="6"/>
  <c r="F10" i="6"/>
  <c r="E10" i="6"/>
  <c r="D10" i="6"/>
  <c r="H10" i="6" s="1"/>
  <c r="C10" i="6"/>
  <c r="B10" i="6"/>
  <c r="A10" i="6"/>
  <c r="M9" i="6"/>
  <c r="J9" i="6"/>
  <c r="I9" i="6"/>
  <c r="G9" i="6"/>
  <c r="F9" i="6"/>
  <c r="E9" i="6"/>
  <c r="D9" i="6"/>
  <c r="C9" i="6"/>
  <c r="B9" i="6"/>
  <c r="A9" i="6"/>
  <c r="H9" i="6" s="1"/>
  <c r="J8" i="6"/>
  <c r="M8" i="6" s="1"/>
  <c r="I8" i="6"/>
  <c r="H8" i="6"/>
  <c r="L8" i="6" s="1"/>
  <c r="G8" i="6"/>
  <c r="F8" i="6"/>
  <c r="E8" i="6"/>
  <c r="D8" i="6"/>
  <c r="C8" i="6"/>
  <c r="B8" i="6"/>
  <c r="A8" i="6"/>
  <c r="M7" i="6"/>
  <c r="J7" i="6"/>
  <c r="I7" i="6"/>
  <c r="G7" i="6"/>
  <c r="F7" i="6"/>
  <c r="E7" i="6"/>
  <c r="D7" i="6"/>
  <c r="C7" i="6"/>
  <c r="H7" i="6" s="1"/>
  <c r="B7" i="6"/>
  <c r="A7" i="6"/>
  <c r="J6" i="6"/>
  <c r="M6" i="6" s="1"/>
  <c r="I6" i="6"/>
  <c r="G6" i="6"/>
  <c r="F6" i="6"/>
  <c r="E6" i="6"/>
  <c r="D6" i="6"/>
  <c r="C6" i="6"/>
  <c r="H6" i="6" s="1"/>
  <c r="B6" i="6"/>
  <c r="A6" i="6"/>
  <c r="M5" i="6"/>
  <c r="J5" i="6"/>
  <c r="I5" i="6"/>
  <c r="G5" i="6"/>
  <c r="F5" i="6"/>
  <c r="E5" i="6"/>
  <c r="D5" i="6"/>
  <c r="H5" i="6" s="1"/>
  <c r="C5" i="6"/>
  <c r="B5" i="6"/>
  <c r="A5" i="6"/>
  <c r="J4" i="6"/>
  <c r="M4" i="6" s="1"/>
  <c r="I4" i="6"/>
  <c r="G4" i="6"/>
  <c r="F4" i="6"/>
  <c r="E4" i="6"/>
  <c r="D4" i="6"/>
  <c r="C4" i="6"/>
  <c r="B4" i="6"/>
  <c r="J4" i="7" s="1"/>
  <c r="A4" i="6"/>
  <c r="J3" i="6"/>
  <c r="M3" i="6" s="1"/>
  <c r="I3" i="6"/>
  <c r="G3" i="6"/>
  <c r="F3" i="6"/>
  <c r="E3" i="6"/>
  <c r="D3" i="6"/>
  <c r="C3" i="6"/>
  <c r="H3" i="6" s="1"/>
  <c r="B3" i="6"/>
  <c r="I9" i="7" s="1"/>
  <c r="A3" i="6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C9" i="2"/>
  <c r="C8" i="2"/>
  <c r="K10" i="6" l="1"/>
  <c r="L10" i="6"/>
  <c r="L25" i="6"/>
  <c r="K25" i="6"/>
  <c r="L30" i="6"/>
  <c r="K30" i="6"/>
  <c r="L37" i="6"/>
  <c r="K37" i="6"/>
  <c r="K35" i="6"/>
  <c r="L35" i="6"/>
  <c r="L7" i="6"/>
  <c r="K7" i="6"/>
  <c r="L11" i="6"/>
  <c r="K11" i="6"/>
  <c r="K14" i="6"/>
  <c r="L14" i="6"/>
  <c r="L17" i="6"/>
  <c r="K17" i="6"/>
  <c r="L19" i="6"/>
  <c r="K19" i="6"/>
  <c r="L32" i="6"/>
  <c r="K32" i="6"/>
  <c r="K22" i="6"/>
  <c r="L22" i="6"/>
  <c r="L3" i="6"/>
  <c r="K3" i="6"/>
  <c r="L6" i="6"/>
  <c r="K6" i="6"/>
  <c r="L9" i="6"/>
  <c r="K9" i="6"/>
  <c r="L24" i="6"/>
  <c r="K24" i="6"/>
  <c r="K26" i="6"/>
  <c r="L26" i="6"/>
  <c r="D9" i="8"/>
  <c r="D18" i="9" s="1"/>
  <c r="E9" i="8"/>
  <c r="K5" i="6"/>
  <c r="L5" i="6"/>
  <c r="L16" i="6"/>
  <c r="K16" i="6"/>
  <c r="K18" i="6"/>
  <c r="L18" i="6"/>
  <c r="L27" i="6"/>
  <c r="K27" i="6"/>
  <c r="L29" i="6"/>
  <c r="K29" i="6"/>
  <c r="H47" i="6"/>
  <c r="K7" i="7"/>
  <c r="L48" i="6"/>
  <c r="K48" i="6"/>
  <c r="E15" i="7"/>
  <c r="H31" i="6"/>
  <c r="H41" i="6"/>
  <c r="H49" i="6"/>
  <c r="D8" i="7"/>
  <c r="I10" i="7"/>
  <c r="K16" i="7"/>
  <c r="K20" i="7"/>
  <c r="L40" i="6"/>
  <c r="K40" i="6"/>
  <c r="L45" i="6"/>
  <c r="K45" i="6"/>
  <c r="K13" i="7"/>
  <c r="H4" i="6"/>
  <c r="K15" i="6"/>
  <c r="K23" i="6"/>
  <c r="H5" i="7"/>
  <c r="G13" i="7"/>
  <c r="F17" i="8"/>
  <c r="F26" i="9" s="1"/>
  <c r="G17" i="8"/>
  <c r="G26" i="9" s="1"/>
  <c r="I6" i="7"/>
  <c r="K8" i="7"/>
  <c r="L34" i="6"/>
  <c r="K34" i="6"/>
  <c r="H3" i="7"/>
  <c r="K14" i="7"/>
  <c r="H28" i="6"/>
  <c r="H36" i="6"/>
  <c r="K38" i="6"/>
  <c r="H12" i="6"/>
  <c r="H20" i="6"/>
  <c r="H33" i="6"/>
  <c r="K46" i="6"/>
  <c r="E6" i="7"/>
  <c r="E14" i="7"/>
  <c r="G22" i="7"/>
  <c r="K8" i="6"/>
  <c r="L42" i="6"/>
  <c r="K42" i="6"/>
  <c r="L50" i="6"/>
  <c r="K50" i="6"/>
  <c r="D4" i="7"/>
  <c r="K15" i="7"/>
  <c r="E4" i="7"/>
  <c r="E16" i="7"/>
  <c r="G15" i="7"/>
  <c r="G14" i="7"/>
  <c r="H13" i="7"/>
  <c r="I12" i="7"/>
  <c r="I11" i="7"/>
  <c r="F6" i="7"/>
  <c r="D16" i="7"/>
  <c r="K22" i="7"/>
  <c r="K21" i="7"/>
  <c r="C16" i="7"/>
  <c r="C16" i="8" s="1"/>
  <c r="C25" i="9" s="1"/>
  <c r="C15" i="7"/>
  <c r="C15" i="8" s="1"/>
  <c r="C24" i="9" s="1"/>
  <c r="D14" i="7"/>
  <c r="E13" i="7"/>
  <c r="E12" i="7"/>
  <c r="G11" i="7"/>
  <c r="G10" i="7"/>
  <c r="H9" i="7"/>
  <c r="I8" i="7"/>
  <c r="D6" i="7"/>
  <c r="G5" i="7"/>
  <c r="K4" i="7"/>
  <c r="C4" i="7"/>
  <c r="C4" i="8" s="1"/>
  <c r="C13" i="9" s="1"/>
  <c r="G3" i="7"/>
  <c r="I22" i="7"/>
  <c r="I21" i="7"/>
  <c r="C14" i="7"/>
  <c r="C14" i="8" s="1"/>
  <c r="C23" i="9" s="1"/>
  <c r="C13" i="7"/>
  <c r="C13" i="8" s="1"/>
  <c r="C22" i="9" s="1"/>
  <c r="D12" i="7"/>
  <c r="E11" i="7"/>
  <c r="E10" i="7"/>
  <c r="G9" i="7"/>
  <c r="G8" i="7"/>
  <c r="L6" i="7"/>
  <c r="H6" i="8" s="1"/>
  <c r="C6" i="7"/>
  <c r="C6" i="8" s="1"/>
  <c r="C15" i="9" s="1"/>
  <c r="F5" i="7"/>
  <c r="F3" i="7"/>
  <c r="C12" i="7"/>
  <c r="C12" i="8" s="1"/>
  <c r="C21" i="9" s="1"/>
  <c r="C11" i="7"/>
  <c r="C11" i="8" s="1"/>
  <c r="C20" i="9" s="1"/>
  <c r="D10" i="7"/>
  <c r="E9" i="7"/>
  <c r="E8" i="7"/>
  <c r="K6" i="7"/>
  <c r="E5" i="7"/>
  <c r="E3" i="7"/>
  <c r="H15" i="7"/>
  <c r="I13" i="7"/>
  <c r="K12" i="7"/>
  <c r="G16" i="7"/>
  <c r="I14" i="7"/>
  <c r="K11" i="7"/>
  <c r="G6" i="7"/>
  <c r="H39" i="6"/>
  <c r="H44" i="6"/>
  <c r="H52" i="6"/>
  <c r="L4" i="7"/>
  <c r="H4" i="8" s="1"/>
  <c r="G12" i="7"/>
  <c r="K19" i="7"/>
  <c r="L51" i="6"/>
  <c r="J5" i="7"/>
  <c r="E7" i="7"/>
  <c r="J10" i="7"/>
  <c r="H10" i="7"/>
  <c r="F10" i="7"/>
  <c r="G17" i="7"/>
  <c r="E18" i="7"/>
  <c r="E19" i="7"/>
  <c r="D20" i="7"/>
  <c r="C21" i="7"/>
  <c r="C21" i="8" s="1"/>
  <c r="C30" i="9" s="1"/>
  <c r="C22" i="7"/>
  <c r="C22" i="8" s="1"/>
  <c r="C31" i="9" s="1"/>
  <c r="A22" i="8"/>
  <c r="A31" i="9" s="1"/>
  <c r="L43" i="6"/>
  <c r="J3" i="7"/>
  <c r="F4" i="7"/>
  <c r="F9" i="7"/>
  <c r="L9" i="7"/>
  <c r="H9" i="8" s="1"/>
  <c r="D9" i="7"/>
  <c r="J9" i="7"/>
  <c r="L10" i="7"/>
  <c r="H10" i="8" s="1"/>
  <c r="C3" i="7"/>
  <c r="C3" i="8" s="1"/>
  <c r="C12" i="9" s="1"/>
  <c r="K3" i="7"/>
  <c r="G4" i="7"/>
  <c r="C5" i="7"/>
  <c r="C5" i="8" s="1"/>
  <c r="C14" i="9" s="1"/>
  <c r="K5" i="7"/>
  <c r="F7" i="7"/>
  <c r="C8" i="7"/>
  <c r="C8" i="8" s="1"/>
  <c r="C17" i="9" s="1"/>
  <c r="F11" i="7"/>
  <c r="L11" i="7"/>
  <c r="H11" i="8" s="1"/>
  <c r="D11" i="7"/>
  <c r="J11" i="7"/>
  <c r="J12" i="7"/>
  <c r="H12" i="7"/>
  <c r="F12" i="7"/>
  <c r="L12" i="7"/>
  <c r="H12" i="8" s="1"/>
  <c r="I15" i="7"/>
  <c r="I16" i="7"/>
  <c r="H17" i="7"/>
  <c r="G18" i="7"/>
  <c r="G19" i="7"/>
  <c r="E20" i="7"/>
  <c r="E21" i="7"/>
  <c r="D22" i="7"/>
  <c r="A8" i="8"/>
  <c r="A17" i="9" s="1"/>
  <c r="A16" i="8"/>
  <c r="A25" i="9" s="1"/>
  <c r="A19" i="8"/>
  <c r="A28" i="9" s="1"/>
  <c r="D3" i="7"/>
  <c r="L3" i="7"/>
  <c r="H3" i="8" s="1"/>
  <c r="H4" i="7"/>
  <c r="D5" i="7"/>
  <c r="H6" i="7"/>
  <c r="J6" i="7"/>
  <c r="G7" i="7"/>
  <c r="C9" i="7"/>
  <c r="C9" i="8" s="1"/>
  <c r="C18" i="9" s="1"/>
  <c r="C10" i="7"/>
  <c r="C10" i="8" s="1"/>
  <c r="C19" i="9" s="1"/>
  <c r="F13" i="7"/>
  <c r="L13" i="7"/>
  <c r="H13" i="8" s="1"/>
  <c r="D13" i="7"/>
  <c r="J13" i="7"/>
  <c r="J14" i="7"/>
  <c r="H14" i="7"/>
  <c r="F14" i="7"/>
  <c r="L14" i="7"/>
  <c r="H14" i="8" s="1"/>
  <c r="I17" i="7"/>
  <c r="I18" i="7"/>
  <c r="H19" i="7"/>
  <c r="G20" i="7"/>
  <c r="G21" i="7"/>
  <c r="E22" i="7"/>
  <c r="A13" i="8"/>
  <c r="A22" i="9" s="1"/>
  <c r="I4" i="7"/>
  <c r="H7" i="7"/>
  <c r="F15" i="7"/>
  <c r="L15" i="7"/>
  <c r="H15" i="8" s="1"/>
  <c r="D15" i="7"/>
  <c r="J15" i="7"/>
  <c r="J16" i="7"/>
  <c r="H16" i="7"/>
  <c r="F16" i="7"/>
  <c r="L16" i="7"/>
  <c r="H16" i="8" s="1"/>
  <c r="K18" i="7"/>
  <c r="I19" i="7"/>
  <c r="I20" i="7"/>
  <c r="H21" i="7"/>
  <c r="A10" i="8"/>
  <c r="A19" i="9" s="1"/>
  <c r="I7" i="7"/>
  <c r="F17" i="7"/>
  <c r="L17" i="7"/>
  <c r="H17" i="8" s="1"/>
  <c r="D17" i="7"/>
  <c r="J17" i="7"/>
  <c r="J18" i="7"/>
  <c r="H18" i="7"/>
  <c r="F18" i="7"/>
  <c r="L18" i="7"/>
  <c r="H18" i="8" s="1"/>
  <c r="L7" i="7"/>
  <c r="H7" i="8" s="1"/>
  <c r="D7" i="7"/>
  <c r="J7" i="7"/>
  <c r="F19" i="7"/>
  <c r="L19" i="7"/>
  <c r="H19" i="8" s="1"/>
  <c r="D19" i="7"/>
  <c r="J19" i="7"/>
  <c r="J20" i="7"/>
  <c r="H20" i="7"/>
  <c r="F20" i="7"/>
  <c r="L20" i="7"/>
  <c r="H20" i="8" s="1"/>
  <c r="A4" i="8"/>
  <c r="A13" i="9" s="1"/>
  <c r="C17" i="7"/>
  <c r="C17" i="8" s="1"/>
  <c r="C26" i="9" s="1"/>
  <c r="C18" i="7"/>
  <c r="C18" i="8" s="1"/>
  <c r="C27" i="9" s="1"/>
  <c r="F21" i="7"/>
  <c r="L21" i="7"/>
  <c r="H21" i="8" s="1"/>
  <c r="D21" i="7"/>
  <c r="J21" i="7"/>
  <c r="J22" i="7"/>
  <c r="H22" i="7"/>
  <c r="F22" i="7"/>
  <c r="L22" i="7"/>
  <c r="H22" i="8" s="1"/>
  <c r="A9" i="8"/>
  <c r="A18" i="9" s="1"/>
  <c r="A17" i="8"/>
  <c r="A26" i="9" s="1"/>
  <c r="A20" i="8"/>
  <c r="A29" i="9" s="1"/>
  <c r="I3" i="7"/>
  <c r="L5" i="7"/>
  <c r="H5" i="8" s="1"/>
  <c r="I5" i="7"/>
  <c r="C7" i="7"/>
  <c r="C7" i="8" s="1"/>
  <c r="C16" i="9" s="1"/>
  <c r="J8" i="7"/>
  <c r="H8" i="7"/>
  <c r="F8" i="7"/>
  <c r="L8" i="7"/>
  <c r="H8" i="8" s="1"/>
  <c r="K9" i="7"/>
  <c r="K10" i="7"/>
  <c r="E17" i="7"/>
  <c r="D18" i="7"/>
  <c r="C19" i="7"/>
  <c r="C19" i="8" s="1"/>
  <c r="C28" i="9" s="1"/>
  <c r="C20" i="7"/>
  <c r="C20" i="8" s="1"/>
  <c r="C29" i="9" s="1"/>
  <c r="A6" i="8"/>
  <c r="A15" i="9" s="1"/>
  <c r="A14" i="8"/>
  <c r="A23" i="9" s="1"/>
  <c r="D4" i="8" l="1"/>
  <c r="D13" i="9" s="1"/>
  <c r="E4" i="8"/>
  <c r="D14" i="8"/>
  <c r="D23" i="9" s="1"/>
  <c r="E14" i="8"/>
  <c r="D21" i="8"/>
  <c r="D30" i="9" s="1"/>
  <c r="E21" i="8"/>
  <c r="F21" i="8"/>
  <c r="F30" i="9" s="1"/>
  <c r="G21" i="8"/>
  <c r="G30" i="9" s="1"/>
  <c r="F8" i="8"/>
  <c r="F17" i="9" s="1"/>
  <c r="G8" i="8"/>
  <c r="G17" i="9" s="1"/>
  <c r="D10" i="8"/>
  <c r="D19" i="9" s="1"/>
  <c r="E10" i="8"/>
  <c r="D7" i="8"/>
  <c r="D16" i="9" s="1"/>
  <c r="E7" i="8"/>
  <c r="D22" i="8"/>
  <c r="D31" i="9" s="1"/>
  <c r="E22" i="8"/>
  <c r="F22" i="8"/>
  <c r="F31" i="9" s="1"/>
  <c r="G22" i="8"/>
  <c r="G31" i="9" s="1"/>
  <c r="D6" i="8"/>
  <c r="D15" i="9" s="1"/>
  <c r="E6" i="8"/>
  <c r="F13" i="8"/>
  <c r="F22" i="9" s="1"/>
  <c r="G13" i="8"/>
  <c r="G22" i="9" s="1"/>
  <c r="L47" i="6"/>
  <c r="K47" i="6"/>
  <c r="D18" i="8"/>
  <c r="D27" i="9" s="1"/>
  <c r="E18" i="8"/>
  <c r="F19" i="8"/>
  <c r="F28" i="9" s="1"/>
  <c r="G19" i="8"/>
  <c r="G28" i="9" s="1"/>
  <c r="L12" i="6"/>
  <c r="K12" i="6"/>
  <c r="L4" i="6"/>
  <c r="K4" i="6"/>
  <c r="F7" i="8"/>
  <c r="F16" i="9" s="1"/>
  <c r="G7" i="8"/>
  <c r="G16" i="9" s="1"/>
  <c r="F3" i="8"/>
  <c r="F12" i="9" s="1"/>
  <c r="G3" i="8"/>
  <c r="G12" i="9" s="1"/>
  <c r="D16" i="8"/>
  <c r="D25" i="9" s="1"/>
  <c r="E16" i="8"/>
  <c r="F12" i="8"/>
  <c r="F21" i="9" s="1"/>
  <c r="G12" i="8"/>
  <c r="G21" i="9" s="1"/>
  <c r="L36" i="6"/>
  <c r="K36" i="6"/>
  <c r="K49" i="6"/>
  <c r="L49" i="6"/>
  <c r="F18" i="8"/>
  <c r="F27" i="9" s="1"/>
  <c r="G18" i="8"/>
  <c r="G27" i="9" s="1"/>
  <c r="F15" i="8"/>
  <c r="F24" i="9" s="1"/>
  <c r="G15" i="8"/>
  <c r="G24" i="9" s="1"/>
  <c r="D20" i="8"/>
  <c r="D29" i="9" s="1"/>
  <c r="E20" i="8"/>
  <c r="L44" i="6"/>
  <c r="K44" i="6"/>
  <c r="F4" i="8"/>
  <c r="F13" i="9" s="1"/>
  <c r="G4" i="8"/>
  <c r="G13" i="9" s="1"/>
  <c r="D11" i="8"/>
  <c r="D20" i="9" s="1"/>
  <c r="E11" i="8"/>
  <c r="F14" i="8"/>
  <c r="F23" i="9" s="1"/>
  <c r="G14" i="8"/>
  <c r="G23" i="9" s="1"/>
  <c r="L31" i="6"/>
  <c r="K31" i="6"/>
  <c r="I9" i="8"/>
  <c r="E18" i="9"/>
  <c r="D15" i="8"/>
  <c r="D24" i="9" s="1"/>
  <c r="E15" i="8"/>
  <c r="L52" i="6"/>
  <c r="K52" i="6"/>
  <c r="D13" i="8"/>
  <c r="D22" i="9" s="1"/>
  <c r="E13" i="8"/>
  <c r="L28" i="6"/>
  <c r="K28" i="6"/>
  <c r="K41" i="6"/>
  <c r="L41" i="6"/>
  <c r="D5" i="8"/>
  <c r="D14" i="9" s="1"/>
  <c r="E5" i="8"/>
  <c r="D19" i="8"/>
  <c r="D28" i="9" s="1"/>
  <c r="E19" i="8"/>
  <c r="K39" i="6"/>
  <c r="L39" i="6"/>
  <c r="D12" i="8"/>
  <c r="D21" i="9" s="1"/>
  <c r="E12" i="8"/>
  <c r="L33" i="6"/>
  <c r="K33" i="6"/>
  <c r="F20" i="8"/>
  <c r="F29" i="9" s="1"/>
  <c r="G20" i="8"/>
  <c r="G29" i="9" s="1"/>
  <c r="F10" i="8"/>
  <c r="F19" i="9" s="1"/>
  <c r="G10" i="8"/>
  <c r="G19" i="9" s="1"/>
  <c r="F5" i="8"/>
  <c r="F14" i="9" s="1"/>
  <c r="G5" i="8"/>
  <c r="G14" i="9" s="1"/>
  <c r="F9" i="8"/>
  <c r="F18" i="9" s="1"/>
  <c r="G9" i="8"/>
  <c r="G18" i="9" s="1"/>
  <c r="D3" i="8"/>
  <c r="D12" i="9" s="1"/>
  <c r="E3" i="8"/>
  <c r="D17" i="8"/>
  <c r="D26" i="9" s="1"/>
  <c r="E17" i="8"/>
  <c r="F11" i="8"/>
  <c r="F20" i="9" s="1"/>
  <c r="G11" i="8"/>
  <c r="G20" i="9" s="1"/>
  <c r="F6" i="8"/>
  <c r="F15" i="9" s="1"/>
  <c r="G6" i="8"/>
  <c r="G15" i="9" s="1"/>
  <c r="D8" i="8"/>
  <c r="D17" i="9" s="1"/>
  <c r="E8" i="8"/>
  <c r="L20" i="6"/>
  <c r="K20" i="6"/>
  <c r="F16" i="8"/>
  <c r="F25" i="9" s="1"/>
  <c r="G16" i="8"/>
  <c r="G25" i="9" s="1"/>
  <c r="E21" i="9" l="1"/>
  <c r="I12" i="8"/>
  <c r="E24" i="9"/>
  <c r="I15" i="8"/>
  <c r="I11" i="8"/>
  <c r="E20" i="9"/>
  <c r="E31" i="9"/>
  <c r="I22" i="8"/>
  <c r="E26" i="9"/>
  <c r="I17" i="8"/>
  <c r="E25" i="9"/>
  <c r="I16" i="8"/>
  <c r="E16" i="9"/>
  <c r="I7" i="8"/>
  <c r="E30" i="9"/>
  <c r="I21" i="8"/>
  <c r="I13" i="8"/>
  <c r="E22" i="9"/>
  <c r="E23" i="9"/>
  <c r="I14" i="8"/>
  <c r="J9" i="8"/>
  <c r="I18" i="9" s="1"/>
  <c r="H18" i="9"/>
  <c r="E12" i="9"/>
  <c r="I3" i="8"/>
  <c r="E14" i="9"/>
  <c r="I5" i="8"/>
  <c r="E29" i="9"/>
  <c r="I20" i="8"/>
  <c r="E27" i="9"/>
  <c r="I18" i="8"/>
  <c r="E13" i="9"/>
  <c r="I4" i="8"/>
  <c r="E17" i="9"/>
  <c r="I8" i="8"/>
  <c r="E28" i="9"/>
  <c r="I19" i="8"/>
  <c r="E15" i="9"/>
  <c r="I6" i="8"/>
  <c r="E19" i="9"/>
  <c r="I10" i="8"/>
  <c r="H12" i="9" l="1"/>
  <c r="J3" i="8"/>
  <c r="I12" i="9" s="1"/>
  <c r="J22" i="8"/>
  <c r="I31" i="9" s="1"/>
  <c r="H31" i="9"/>
  <c r="H16" i="9"/>
  <c r="J7" i="8"/>
  <c r="I16" i="9" s="1"/>
  <c r="J10" i="8"/>
  <c r="I19" i="9" s="1"/>
  <c r="H19" i="9"/>
  <c r="J21" i="8"/>
  <c r="I30" i="9" s="1"/>
  <c r="H30" i="9"/>
  <c r="J4" i="8"/>
  <c r="I13" i="9" s="1"/>
  <c r="H13" i="9"/>
  <c r="J6" i="8"/>
  <c r="I15" i="9" s="1"/>
  <c r="H15" i="9"/>
  <c r="J18" i="8"/>
  <c r="I27" i="9" s="1"/>
  <c r="H27" i="9"/>
  <c r="J16" i="8"/>
  <c r="I25" i="9" s="1"/>
  <c r="H25" i="9"/>
  <c r="H20" i="9"/>
  <c r="J11" i="8"/>
  <c r="I20" i="9" s="1"/>
  <c r="H28" i="9"/>
  <c r="J19" i="8"/>
  <c r="I28" i="9" s="1"/>
  <c r="J20" i="8"/>
  <c r="I29" i="9" s="1"/>
  <c r="H29" i="9"/>
  <c r="J14" i="8"/>
  <c r="I23" i="9" s="1"/>
  <c r="H23" i="9"/>
  <c r="H24" i="9"/>
  <c r="J15" i="8"/>
  <c r="I24" i="9" s="1"/>
  <c r="J8" i="8"/>
  <c r="I17" i="9" s="1"/>
  <c r="H17" i="9"/>
  <c r="J5" i="8"/>
  <c r="I14" i="9" s="1"/>
  <c r="H14" i="9"/>
  <c r="J17" i="8"/>
  <c r="I26" i="9" s="1"/>
  <c r="H26" i="9"/>
  <c r="J12" i="8"/>
  <c r="I21" i="9" s="1"/>
  <c r="H21" i="9"/>
  <c r="J13" i="8"/>
  <c r="I22" i="9" s="1"/>
  <c r="H22" i="9"/>
</calcChain>
</file>

<file path=xl/sharedStrings.xml><?xml version="1.0" encoding="utf-8"?>
<sst xmlns="http://schemas.openxmlformats.org/spreadsheetml/2006/main" count="475" uniqueCount="356">
  <si>
    <t>STRUMENTO DI VALUTAZIONE DEL RISCHIO STRESS LAVORO-CORRELATO (SLC)</t>
  </si>
  <si>
    <t>Basato su: Linee Guida INAIL 2017 | Monografia INAIL Aprile 2025 | D.Lgs. 81/08</t>
  </si>
  <si>
    <t>RIFERIMENTI NORMATIVI</t>
  </si>
  <si>
    <t>D.Lgs. 81/2008</t>
  </si>
  <si>
    <t>Art. 28 c.1: obbligo di valutazione di tutti i rischi, compresi quelli da stress lavoro-correlato. Art. 28 c.1-bis: aggiornamento della valutazione in caso di modifiche organizzative significative.</t>
  </si>
  <si>
    <t>Accordo Europeo SLC</t>
  </si>
  <si>
    <t>Accordo Quadro Europeo sullo Stress sul Lavoro dell'8 ottobre 2004, recepito in Italia con l'Accordo Interconfederale del 9 giugno 2008.</t>
  </si>
  <si>
    <t>Accordo Stato-Regioni 21/12/2011</t>
  </si>
  <si>
    <t>Indicazioni per la corretta e completa applicazione dell'art. 28 c.1-bis del D.Lgs. 81/08 in materia di stress lavoro-correlato.</t>
  </si>
  <si>
    <t>Linee Guida INAIL 2017</t>
  </si>
  <si>
    <t>"La metodologia per la valutazione e gestione del rischio stress lavoro-correlato" — Strumento Indicatore con 35 item su scala Likert 1-5 suddivisi in 4 aree: Contenuto del Lavoro, Contesto del Lavoro, Relazioni Interpersonali, Cambiamento Organizzativo.</t>
  </si>
  <si>
    <t>Monografia INAIL Aprile 2025</t>
  </si>
  <si>
    <t>"Modulo contestualizzato al lavoro da remoto e all'innovazione tecnologica" — Integrazione con 27 item aggiuntivi: 10 Remote Work, 15 Technostress, 2 Work-Life Balance. Da utilizzare per gruppi omogenei con modalità Smart Working o con elevato uso di tecnologie ICT.</t>
  </si>
  <si>
    <t>STRUTTURA DEL FILE</t>
  </si>
  <si>
    <t>README_Istruzioni</t>
  </si>
  <si>
    <t>Il presente foglio. Riferimenti normativi, avvertenze e guida operativa.</t>
  </si>
  <si>
    <t>Configurazione</t>
  </si>
  <si>
    <t>Dati organizzazione, responsabili, soglie cut-off modificabili.</t>
  </si>
  <si>
    <t>Gruppi_Omogenei</t>
  </si>
  <si>
    <t>Anagrafica dei gruppi omogenei (reparto, mansione, turno, modalità lavoro).</t>
  </si>
  <si>
    <t>DataEntry_Standard</t>
  </si>
  <si>
    <t>Inserimento anonimo delle 35 risposte — Strumento Indicatore INAIL.</t>
  </si>
  <si>
    <t>DataEntry_SmartICT</t>
  </si>
  <si>
    <t>Inserimento anonimo dei 27 item aggiuntivi (solo gruppi Smart/ICT).</t>
  </si>
  <si>
    <t>Calcolo_Punteggi</t>
  </si>
  <si>
    <t>Inversione item, punteggi per sezione, totali, confronto con cut-off.</t>
  </si>
  <si>
    <t>Aggregazione_Gruppi</t>
  </si>
  <si>
    <t>Media, DS, distribuzione frequenze per ogni gruppo omogeneo.</t>
  </si>
  <si>
    <t>Classificazione_Rischio</t>
  </si>
  <si>
    <t>Fascia di rischio: Trascurabile / Moderato / Rilevante.</t>
  </si>
  <si>
    <t>Report_Risultati</t>
  </si>
  <si>
    <t>Tabelle e grafici aggregati pronti per il DVR.</t>
  </si>
  <si>
    <t>Privacy_Log</t>
  </si>
  <si>
    <t>Traccia anonima delle compilazioni (GDPR-compliant).</t>
  </si>
  <si>
    <t>GUIDA OPERATIVA</t>
  </si>
  <si>
    <t>Passo 1 — Configurazione</t>
  </si>
  <si>
    <t>Compilare il foglio 'Configurazione': nome azienda, data, responsabili, n. gruppi omogenei.</t>
  </si>
  <si>
    <t>Passo 2 — Gruppi Omogenei</t>
  </si>
  <si>
    <t>Definire ogni gruppo nel foglio 'Gruppi_Omogenei' (ID, reparto, mansione, turno, modalità lavoro).</t>
  </si>
  <si>
    <t>Passo 3 — Raccolta dati</t>
  </si>
  <si>
    <t>Per ogni compilatore (anonimo) inserire le risposte nel foglio 'DataEntry_Standard'. Per gruppi Smart/ICT, utilizzare anche 'DataEntry_SmartICT'.</t>
  </si>
  <si>
    <t>Passo 4 — Verifica</t>
  </si>
  <si>
    <t>Il foglio 'Calcolo_Punteggi' aggiorna automaticamente i risultati. Verificare l'assenza di celle vuote.</t>
  </si>
  <si>
    <t>Passo 5 — Report</t>
  </si>
  <si>
    <t>Consultare 'Classificazione_Rischio' e 'Report_Risultati' per la sintesi da inserire nel DVR.</t>
  </si>
  <si>
    <t>Passo 6 — Rivalutazione</t>
  </si>
  <si>
    <t>Il sistema genera alert automatico a 24/36 mesi. Ripetere la procedura ad ogni modifica organizzativa rilevante.</t>
  </si>
  <si>
    <t>AVVERTENZE PRIVACY (GDPR)</t>
  </si>
  <si>
    <t>Anonimato</t>
  </si>
  <si>
    <t>Non inserire MAI nome, cognome, codice fiscale o altri dati identificativi nei fogli DataEntry. Ogni compilazione è identificata esclusivamente dall'ID Gruppo Omogeneo.</t>
  </si>
  <si>
    <t>Elaborazione aggregata</t>
  </si>
  <si>
    <t>I risultati sono elaborati e visualizzati SOLO in forma aggregata per gruppo. Non è possibile risalire alle risposte del singolo lavoratore.</t>
  </si>
  <si>
    <t>Base giuridica</t>
  </si>
  <si>
    <t>Trattamento dati ex art. 9 par. 2 lett. b) GDPR (esecuzione obblighi di legge in materia di lavoro) e D.Lgs. 81/08. Informativa da fornire ai lavoratori prima della compilazione.</t>
  </si>
  <si>
    <t>Responsabilità</t>
  </si>
  <si>
    <t>La valutazione finale spetta al Datore di Lavoro con il supporto di RSPP e Medico Competente, previo coinvolgimento dell'RLS. Il presente strumento è ausiliario e non sostituisce la valutazione esperta.</t>
  </si>
  <si>
    <t>CONFIGURAZIONE VALUTAZIONE SLC</t>
  </si>
  <si>
    <t>DATI ORGANIZZAZIONE</t>
  </si>
  <si>
    <t>Nome Organizzazione / Azienda</t>
  </si>
  <si>
    <t>Sede / Unità Produttiva</t>
  </si>
  <si>
    <t>ATECO / Settore</t>
  </si>
  <si>
    <t>Numero totale dipendenti</t>
  </si>
  <si>
    <t>Data Valutazione</t>
  </si>
  <si>
    <t>Data Rivalutazione (24 mesi)</t>
  </si>
  <si>
    <t>Alert Rivalutazione</t>
  </si>
  <si>
    <t>TEAM DI VALUTAZIONE</t>
  </si>
  <si>
    <t>RSPP (Nome/Qualifica)</t>
  </si>
  <si>
    <t>Medico Competente</t>
  </si>
  <si>
    <t>RLS / RLST</t>
  </si>
  <si>
    <t>Consulente esterno (se presente)</t>
  </si>
  <si>
    <t>PARAMETRI VALUTAZIONE</t>
  </si>
  <si>
    <t>Numero Gruppi Omogenei</t>
  </si>
  <si>
    <t>Scala risposta</t>
  </si>
  <si>
    <t>Likert 1-5</t>
  </si>
  <si>
    <t>CUT-OFF RISCHIO — STRUMENTO STANDARD (35 item)</t>
  </si>
  <si>
    <t>Soglia Trascurabile (max)</t>
  </si>
  <si>
    <t>Soglia Moderato (max)</t>
  </si>
  <si>
    <t>(Oltre soglia Moderato → Rilevante)</t>
  </si>
  <si>
    <t>CUT-OFF RISCHIO — MODULO SMART/ICT (27 item aggiuntivi)</t>
  </si>
  <si>
    <t>Soglia Trascurabile (max) — Smart/ICT</t>
  </si>
  <si>
    <t>Soglia Moderato (max) — Smart/ICT</t>
  </si>
  <si>
    <t>NOTE MC (Medico Competente)</t>
  </si>
  <si>
    <t>ANAGRAFICA GRUPPI OMOGENEI</t>
  </si>
  <si>
    <t>ID_Gruppo</t>
  </si>
  <si>
    <t>Reparto / Ufficio</t>
  </si>
  <si>
    <t>Mansione Prevalente</t>
  </si>
  <si>
    <t>Turno</t>
  </si>
  <si>
    <t>Modalità Lavoro</t>
  </si>
  <si>
    <t>N. Componenti</t>
  </si>
  <si>
    <t>Smart/ICT Attivo</t>
  </si>
  <si>
    <t>Note</t>
  </si>
  <si>
    <t>GRP-01</t>
  </si>
  <si>
    <t>GRP-02</t>
  </si>
  <si>
    <t>GRP-03</t>
  </si>
  <si>
    <t>GRP-04</t>
  </si>
  <si>
    <t>GRP-05</t>
  </si>
  <si>
    <t>GRP-06</t>
  </si>
  <si>
    <t>GRP-07</t>
  </si>
  <si>
    <t>GRP-08</t>
  </si>
  <si>
    <t>GRP-09</t>
  </si>
  <si>
    <t>GRP-10</t>
  </si>
  <si>
    <t>GRP-11</t>
  </si>
  <si>
    <t>GRP-12</t>
  </si>
  <si>
    <t>GRP-13</t>
  </si>
  <si>
    <t>GRP-14</t>
  </si>
  <si>
    <t>GRP-15</t>
  </si>
  <si>
    <t>GRP-16</t>
  </si>
  <si>
    <t>GRP-17</t>
  </si>
  <si>
    <t>GRP-18</t>
  </si>
  <si>
    <t>GRP-19</t>
  </si>
  <si>
    <t>GRP-20</t>
  </si>
  <si>
    <t>INSERIMENTO DATI — STRUMENTO INDICATORE INAIL (35 ITEM) — DATI ANONIMI</t>
  </si>
  <si>
    <t>ID_Compilazione</t>
  </si>
  <si>
    <t>Data_Compilazione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</si>
  <si>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</si>
  <si>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</si>
  <si>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</si>
  <si>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</si>
  <si>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</si>
  <si>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</si>
  <si>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</si>
  <si>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</si>
  <si>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</si>
  <si>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</si>
  <si>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</si>
  <si>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</si>
  <si>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</si>
  <si>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</si>
  <si>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</si>
  <si>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</si>
  <si>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</si>
  <si>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</si>
  <si>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</si>
  <si>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</si>
  <si>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</si>
  <si>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</si>
  <si>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</si>
  <si>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</si>
  <si>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</si>
  <si>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</si>
  <si>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</si>
  <si>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</si>
  <si>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</si>
  <si>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</si>
  <si>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</si>
  <si>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</si>
  <si>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</si>
  <si>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</si>
  <si>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</si>
  <si>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Contenuto</t>
  </si>
  <si>
    <t>Contesto</t>
  </si>
  <si>
    <t>Relazioni</t>
  </si>
  <si>
    <t>Cambiamento</t>
  </si>
  <si>
    <t>Equilibrio</t>
  </si>
  <si>
    <t>ID anonimo</t>
  </si>
  <si>
    <t>Data (gg/mm/aa)</t>
  </si>
  <si>
    <t>ID Gruppo</t>
  </si>
  <si>
    <t>[D] Chiarezza del ruolo e dei compiti</t>
  </si>
  <si>
    <t>[R] Sovraccarico quantitativo (carico eccessivo)</t>
  </si>
  <si>
    <t>[R] Monotonia / ripetitività del lavoro</t>
  </si>
  <si>
    <t>[D] Controllo sul metodo di lavoro (autonomia)</t>
  </si>
  <si>
    <t>[R] Ritmi di lavoro imposti dall'esterno</t>
  </si>
  <si>
    <t>[D] Adeguatezza delle competenze richieste</t>
  </si>
  <si>
    <t>[D] Varietà dei compiti assegnati</t>
  </si>
  <si>
    <t>[D] Possibilità di sviluppo professionale</t>
  </si>
  <si>
    <t>[D] Significatività del lavoro svolto</t>
  </si>
  <si>
    <t>[D] Feedback sul lavoro ricevuto</t>
  </si>
  <si>
    <t>[D] Chiarezza degli obiettivi organizzativi</t>
  </si>
  <si>
    <t>[D] Partecipazione alle decisioni che riguardano il proprio lavoro</t>
  </si>
  <si>
    <t>[D] Comunicazione interna adeguata</t>
  </si>
  <si>
    <t>[R] Ambiguità di ruolo (conflitti di competenza)</t>
  </si>
  <si>
    <t>[R] Conflitto di ruolo (richieste contraddittorie)</t>
  </si>
  <si>
    <t>[R] Responsabilità per il lavoro altrui</t>
  </si>
  <si>
    <t>[D] Supporto del responsabile diretto</t>
  </si>
  <si>
    <t>[D] Disponibilità di risorse adeguate</t>
  </si>
  <si>
    <t>[D] Riconoscimento dell'impegno profuso</t>
  </si>
  <si>
    <t>[D] Supporto dei colleghi</t>
  </si>
  <si>
    <t>[R] Conflittualità interpersonale</t>
  </si>
  <si>
    <t>[R] Isolamento sociale o professionale</t>
  </si>
  <si>
    <t>[D] Clima di lavoro complessivo</t>
  </si>
  <si>
    <t>[R] Comportamenti scorretti (mobbing/molestie)</t>
  </si>
  <si>
    <t>[D] Equità nel trattamento</t>
  </si>
  <si>
    <t>[D] Collaborazione nel team</t>
  </si>
  <si>
    <t>[D] Rispetto e cortesia</t>
  </si>
  <si>
    <t>[D] Comunicazione sui cambiamenti organizzativi</t>
  </si>
  <si>
    <t>[R] Gestione delle incertezze lavorative</t>
  </si>
  <si>
    <t>[D] Coinvolgimento nei processi di cambiamento</t>
  </si>
  <si>
    <t>[R] Adattabilità richiesta (flessibilità eccessiva)</t>
  </si>
  <si>
    <t>[D] Supporto durante le transizioni organizzative</t>
  </si>
  <si>
    <t>[D] Orario di lavoro adeguato</t>
  </si>
  <si>
    <t>[R] Interferenza lavoro-vita privata</t>
  </si>
  <si>
    <t>[D] Rispetto dei periodi di riposo</t>
  </si>
  <si>
    <t>COMP-001</t>
  </si>
  <si>
    <t>COMP-002</t>
  </si>
  <si>
    <t>COMP-003</t>
  </si>
  <si>
    <t>COMP-004</t>
  </si>
  <si>
    <t>COMP-005</t>
  </si>
  <si>
    <t>COMP-006</t>
  </si>
  <si>
    <t>COMP-007</t>
  </si>
  <si>
    <t>COMP-008</t>
  </si>
  <si>
    <t>COMP-009</t>
  </si>
  <si>
    <t>COMP-010</t>
  </si>
  <si>
    <t>COMP-011</t>
  </si>
  <si>
    <t>COMP-012</t>
  </si>
  <si>
    <t>COMP-013</t>
  </si>
  <si>
    <t>COMP-014</t>
  </si>
  <si>
    <t>COMP-015</t>
  </si>
  <si>
    <t>COMP-016</t>
  </si>
  <si>
    <t>COMP-017</t>
  </si>
  <si>
    <t>COMP-018</t>
  </si>
  <si>
    <t>COMP-019</t>
  </si>
  <si>
    <t>COMP-020</t>
  </si>
  <si>
    <t>COMP-021</t>
  </si>
  <si>
    <t>COMP-022</t>
  </si>
  <si>
    <t>COMP-023</t>
  </si>
  <si>
    <t>COMP-024</t>
  </si>
  <si>
    <t>COMP-025</t>
  </si>
  <si>
    <t>COMP-026</t>
  </si>
  <si>
    <t>COMP-027</t>
  </si>
  <si>
    <t>COMP-028</t>
  </si>
  <si>
    <t>COMP-029</t>
  </si>
  <si>
    <t>COMP-030</t>
  </si>
  <si>
    <t>COMP-031</t>
  </si>
  <si>
    <t>COMP-032</t>
  </si>
  <si>
    <t>COMP-033</t>
  </si>
  <si>
    <t>COMP-034</t>
  </si>
  <si>
    <t>COMP-035</t>
  </si>
  <si>
    <t>COMP-036</t>
  </si>
  <si>
    <t>COMP-037</t>
  </si>
  <si>
    <t>COMP-038</t>
  </si>
  <si>
    <t>COMP-039</t>
  </si>
  <si>
    <t>COMP-040</t>
  </si>
  <si>
    <t>COMP-041</t>
  </si>
  <si>
    <t>COMP-042</t>
  </si>
  <si>
    <t>COMP-043</t>
  </si>
  <si>
    <t>COMP-044</t>
  </si>
  <si>
    <t>COMP-045</t>
  </si>
  <si>
    <t>COMP-046</t>
  </si>
  <si>
    <t>COMP-047</t>
  </si>
  <si>
    <t>COMP-048</t>
  </si>
  <si>
    <t>COMP-049</t>
  </si>
  <si>
    <t>COMP-050</t>
  </si>
  <si>
    <t>INSERIMENTO DATI — MODULO SMART/ICT INAIL 2025 (27 ITEM AGGIUNTIVI) — DATI ANONIMI</t>
  </si>
  <si>
    <t>ICT01</t>
  </si>
  <si>
    <t>ICT02</t>
  </si>
  <si>
    <t>ICT03</t>
  </si>
  <si>
    <t>ICT04</t>
  </si>
  <si>
    <t>ICT05</t>
  </si>
  <si>
    <t>ICT06</t>
  </si>
  <si>
    <t>ICT07</t>
  </si>
  <si>
    <t>ICT08</t>
  </si>
  <si>
    <t>ICT09</t>
  </si>
  <si>
    <t>ICT10</t>
  </si>
  <si>
    <t>ICT11</t>
  </si>
  <si>
    <t>ICT12</t>
  </si>
  <si>
    <t>ICT13</t>
  </si>
  <si>
    <t>ICT14</t>
  </si>
  <si>
    <t>ICT15</t>
  </si>
  <si>
    <t>ICT16</t>
  </si>
  <si>
    <t>ICT17</t>
  </si>
  <si>
    <t>ICT18</t>
  </si>
  <si>
    <t>ICT19</t>
  </si>
  <si>
    <t>ICT20</t>
  </si>
  <si>
    <t>ICT21</t>
  </si>
  <si>
    <t>ICT22</t>
  </si>
  <si>
    <t>ICT23</t>
  </si>
  <si>
    <t>ICT24</t>
  </si>
  <si>
    <t>ICT25</t>
  </si>
  <si>
    <t>ICT26</t>
  </si>
  <si>
    <t>ICT27</t>
  </si>
  <si>
    <t>Remote Work</t>
  </si>
  <si>
    <t>Technostress</t>
  </si>
  <si>
    <t>Work-Life</t>
  </si>
  <si>
    <t>[D] Adeguatezza della postazione di lavoro da remoto</t>
  </si>
  <si>
    <t>[D] Connettività e strumenti tecnologici disponibili</t>
  </si>
  <si>
    <t>[R] Difficoltà di comunicazione con il team a distanza</t>
  </si>
  <si>
    <t>[R] Percezione di isolamento professionale</t>
  </si>
  <si>
    <t>[D] Capacità di gestione autonoma del tempo</t>
  </si>
  <si>
    <t>[D] Chiarezza degli obiettivi in modalità remota</t>
  </si>
  <si>
    <t>[R] Interferenza con la sfera domestica</t>
  </si>
  <si>
    <t>[D] Supporto del responsabile in modalità remota</t>
  </si>
  <si>
    <t>[R] Difficoltà di disconnessione al termine del lavoro</t>
  </si>
  <si>
    <t>[D] Equità percepita rispetto ai colleghi in presenza</t>
  </si>
  <si>
    <t>[R] Sovraccarico informativo (information overload)</t>
  </si>
  <si>
    <t>[R] Ansia da prestazione tecnologica</t>
  </si>
  <si>
    <t>[R] Difficoltà di apprendimento di nuovi software/sistemi</t>
  </si>
  <si>
    <t>[R] Interruzioni frequenti causate da notifiche/alert</t>
  </si>
  <si>
    <t>[R] Paura di obsolescenza delle competenze digitali</t>
  </si>
  <si>
    <t>[R] Monitoraggio elettronico percepito come invasivo</t>
  </si>
  <si>
    <t>[R] Affaticamento visivo/posturale da uso prolungato ICT</t>
  </si>
  <si>
    <t>[R] Difficoltà a staccare dai dispositivi digitali</t>
  </si>
  <si>
    <t>[D] Efficacia percepita nell'uso delle tecnologie</t>
  </si>
  <si>
    <t>[D] Aggiornamento tecnologico adeguato alle esigenze</t>
  </si>
  <si>
    <t>[D] Supporto tecnico disponibile e tempestivo</t>
  </si>
  <si>
    <t>[D] Trasparenza algoritmi e sistemi di supporto decisionale</t>
  </si>
  <si>
    <t>[R] Preoccupazione per automazione/sostituzione AI</t>
  </si>
  <si>
    <t>[R] Dipendenza percepita da sistemi automatizzati</t>
  </si>
  <si>
    <t>[D] Fiducia complessiva nella tecnologia aziendale</t>
  </si>
  <si>
    <t>[R] Confusione tra spazio domestico e spazio lavorativo</t>
  </si>
  <si>
    <t>[D] Rispetto dei limiti orario in modalità Smart/ICT</t>
  </si>
  <si>
    <t>CALCOLO PUNTEGGI — STRUMENTO INDICATORE INAIL</t>
  </si>
  <si>
    <t>Punteggio_Contenuto</t>
  </si>
  <si>
    <t>Punteggio_Contesto</t>
  </si>
  <si>
    <t>Punteggio_Relazioni</t>
  </si>
  <si>
    <t>Punteggio_Cambiamento</t>
  </si>
  <si>
    <t>Punteggio_Equilibrio</t>
  </si>
  <si>
    <t>Totale_Standard</t>
  </si>
  <si>
    <t>N_Item_Critici</t>
  </si>
  <si>
    <t>Punteggio_SmartICT</t>
  </si>
  <si>
    <t>Totale_Combinato</t>
  </si>
  <si>
    <t>Fascia_Rischio_Std</t>
  </si>
  <si>
    <t>Fascia_Rischio_ICT</t>
  </si>
  <si>
    <t>AGGREGAZIONE RISULTATI PER GRUPPO OMOGENEO</t>
  </si>
  <si>
    <t>Reparto</t>
  </si>
  <si>
    <t>N_Compilazioni</t>
  </si>
  <si>
    <t>Media_Contenuto</t>
  </si>
  <si>
    <t>Media_Contesto</t>
  </si>
  <si>
    <t>Media_Relazioni</t>
  </si>
  <si>
    <t>Media_Cambiamento</t>
  </si>
  <si>
    <t>Media_Equilibrio</t>
  </si>
  <si>
    <t>Media_Totale_Std</t>
  </si>
  <si>
    <t>DS_Totale</t>
  </si>
  <si>
    <t>Media_SmartICT</t>
  </si>
  <si>
    <t>Item_Critici_Medi</t>
  </si>
  <si>
    <t>CLASSIFICAZIONE DEL RISCHIO SLC PER GRUPPO OMOGENEO</t>
  </si>
  <si>
    <t>N_Comp</t>
  </si>
  <si>
    <t>Media_Std</t>
  </si>
  <si>
    <t>Fascia_Std</t>
  </si>
  <si>
    <t>Media_ICT</t>
  </si>
  <si>
    <t>Fascia_ICT</t>
  </si>
  <si>
    <t>Item_Critici</t>
  </si>
  <si>
    <t>Classe_Finale</t>
  </si>
  <si>
    <t>Priorità_Intervento</t>
  </si>
  <si>
    <t>REPORT RISULTATI — VALUTAZIONE SLC — PRONTO PER DVR</t>
  </si>
  <si>
    <t>Organizzazione:</t>
  </si>
  <si>
    <t>Data Valutazione:</t>
  </si>
  <si>
    <t>RSPP:</t>
  </si>
  <si>
    <t>Medico Competente:</t>
  </si>
  <si>
    <t>RLS/RLST:</t>
  </si>
  <si>
    <t>Data Rivalutazione:</t>
  </si>
  <si>
    <t>SINTESI CLASSIFICAZIONE RISCHIO PER GRUPPO OMOGENEO</t>
  </si>
  <si>
    <t>Gruppo</t>
  </si>
  <si>
    <t>N</t>
  </si>
  <si>
    <t>Media Std</t>
  </si>
  <si>
    <t>Fascia Std</t>
  </si>
  <si>
    <t>Media ICT</t>
  </si>
  <si>
    <t>Fascia ICT</t>
  </si>
  <si>
    <t>Classe</t>
  </si>
  <si>
    <t>Priorità</t>
  </si>
  <si>
    <t>Note MC</t>
  </si>
  <si>
    <t>AVVERTENZA: Il presente strumento è ausiliario. La valutazione finale spetta al Datore di Lavoro, con il supporto di RSPP e Medico Competente, nel rispetto del principio di anonimato e delle procedure di consultazione RLS (D.Lgs. 81/08, art. 28).</t>
  </si>
  <si>
    <t>PRIVACY LOG — TRACCIA ANONIMA COMPILAZIONI (GDPR ART. 30)</t>
  </si>
  <si>
    <t>⚠ ATTENZIONE: Questo foglio traccia solo metadati anonimi (ID compilazione, ID gruppo, data/ora). Non contiene dati personali. Non modificare manualmente.</t>
  </si>
  <si>
    <t>Modulo</t>
  </si>
  <si>
    <t>N_Item_Completati</t>
  </si>
  <si>
    <t>Hash_Anonimo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</si>
</sst>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8"/>
      <color rgb="FF1F4E79"/>
      <name val="Arial"/>
      <charset val="1"/>
    </font>
    <font>
      <b/>
      <sz val="8"/>
      <color rgb="FFC55A11"/>
      <name val="Arial"/>
      <charset val="1"/>
    </font>
    <font>
      <sz val="9"/>
      <color rgb="FF000000"/>
      <name val="Arial"/>
      <charset val="1"/>
    </font>
    <font>
      <i/>
      <sz val="9"/>
      <name val="Arial"/>
      <charset val="1"/>
    </font>
    <font>
      <i/>
      <sz val="9"/>
      <color rgb="FF9C5700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70AD47"/>
        <bgColor rgb="FF548235"/>
      </patternFill>
    </fill>
    <fill>
      <patternFill patternType="solid">
        <fgColor rgb="FFC55A11"/>
        <bgColor rgb="FF9C5700"/>
      </patternFill>
    </fill>
    <fill>
      <patternFill patternType="solid">
        <fgColor rgb="FFEBF3FB"/>
        <bgColor rgb="FFF2F2F2"/>
      </patternFill>
    </fill>
    <fill>
      <patternFill patternType="solid">
        <fgColor rgb="FFD9D9D9"/>
        <bgColor rgb="FFC6EFCE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800080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7" borderId="2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textRotation="90" wrapText="1"/>
    </xf>
    <xf numFmtId="0" fontId="15" fillId="4" borderId="2" xfId="0" applyFont="1" applyFill="1" applyBorder="1" applyAlignment="1">
      <alignment horizontal="center" vertical="center" textRotation="90" wrapText="1"/>
    </xf>
    <xf numFmtId="0" fontId="16" fillId="4" borderId="2" xfId="0" applyFont="1" applyFill="1" applyBorder="1" applyAlignment="1">
      <alignment horizontal="center" vertical="center" wrapText="1"/>
    </xf>
    <xf numFmtId="14" fontId="0" fillId="7" borderId="2" xfId="0" applyNumberFormat="1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2" fontId="16" fillId="11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5" fillId="11" borderId="2" xfId="0" applyFont="1" applyFill="1" applyBorder="1"/>
    <xf numFmtId="14" fontId="5" fillId="11" borderId="2" xfId="0" applyNumberFormat="1" applyFont="1" applyFill="1" applyBorder="1"/>
    <xf numFmtId="0" fontId="16" fillId="7" borderId="2" xfId="0" applyFont="1" applyFill="1" applyBorder="1" applyAlignment="1">
      <alignment horizontal="center" vertical="center" wrapText="1"/>
    </xf>
    <xf numFmtId="22" fontId="16" fillId="4" borderId="2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left" vertical="center" wrapText="1"/>
    </xf>
  </cellXfs>
  <cellStyles count="1">
    <cellStyle name="Normale" xfId="0" builtinId="0"/>
  </cellStyles>
  <dxfs count="37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375623"/>
        <name val="Arial"/>
        <charset val="1"/>
      </font>
      <fill>
        <patternFill>
          <bgColor rgb="FFC6EFCE"/>
        </patternFill>
      </fill>
    </dxf>
    <dxf>
      <font>
        <b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2F2F2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C5700"/>
      <rgbColor rgb="FFC55A11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6"/>
  <sheetViews>
    <sheetView showGridLines="0" topLeftCell="A20" zoomScaleNormal="100" workbookViewId="0">
      <selection activeCell="C33" sqref="C33"/>
    </sheetView>
  </sheetViews>
  <sheetFormatPr defaultColWidth="8.7109375" defaultRowHeight="15" x14ac:dyDescent="0.25"/>
  <cols>
    <col min="1" max="1" width="4" customWidth="1"/>
    <col min="2" max="2" width="30" customWidth="1"/>
    <col min="3" max="3" width="70" customWidth="1"/>
  </cols>
  <sheetData>
    <row r="1" spans="2:3" ht="6" customHeight="1" x14ac:dyDescent="0.25"/>
    <row r="2" spans="2:3" ht="35.85" customHeight="1" x14ac:dyDescent="0.25">
      <c r="B2" s="33" t="s">
        <v>0</v>
      </c>
      <c r="C2" s="33"/>
    </row>
    <row r="3" spans="2:3" ht="15" customHeight="1" x14ac:dyDescent="0.25">
      <c r="B3" s="34" t="s">
        <v>1</v>
      </c>
      <c r="C3" s="34"/>
    </row>
    <row r="5" spans="2:3" ht="19.5" customHeight="1" x14ac:dyDescent="0.25">
      <c r="B5" s="35" t="s">
        <v>2</v>
      </c>
      <c r="C5" s="35"/>
    </row>
    <row r="6" spans="2:3" ht="45" customHeight="1" x14ac:dyDescent="0.25">
      <c r="B6" s="1" t="s">
        <v>3</v>
      </c>
      <c r="C6" s="2" t="s">
        <v>4</v>
      </c>
    </row>
    <row r="7" spans="2:3" ht="45" customHeight="1" x14ac:dyDescent="0.25">
      <c r="B7" s="1" t="s">
        <v>5</v>
      </c>
      <c r="C7" s="2" t="s">
        <v>6</v>
      </c>
    </row>
    <row r="8" spans="2:3" ht="45" customHeight="1" x14ac:dyDescent="0.25">
      <c r="B8" s="1" t="s">
        <v>7</v>
      </c>
      <c r="C8" s="2" t="s">
        <v>8</v>
      </c>
    </row>
    <row r="9" spans="2:3" ht="45" customHeight="1" x14ac:dyDescent="0.25">
      <c r="B9" s="1" t="s">
        <v>9</v>
      </c>
      <c r="C9" s="2" t="s">
        <v>10</v>
      </c>
    </row>
    <row r="10" spans="2:3" ht="45" customHeight="1" x14ac:dyDescent="0.25">
      <c r="B10" s="1" t="s">
        <v>11</v>
      </c>
      <c r="C10" s="2" t="s">
        <v>12</v>
      </c>
    </row>
    <row r="12" spans="2:3" ht="19.5" customHeight="1" x14ac:dyDescent="0.25">
      <c r="B12" s="35" t="s">
        <v>13</v>
      </c>
      <c r="C12" s="35"/>
    </row>
    <row r="13" spans="2:3" ht="45" customHeight="1" x14ac:dyDescent="0.25">
      <c r="B13" s="1" t="s">
        <v>14</v>
      </c>
      <c r="C13" s="2" t="s">
        <v>15</v>
      </c>
    </row>
    <row r="14" spans="2:3" ht="45" customHeight="1" x14ac:dyDescent="0.25">
      <c r="B14" s="1" t="s">
        <v>16</v>
      </c>
      <c r="C14" s="2" t="s">
        <v>17</v>
      </c>
    </row>
    <row r="15" spans="2:3" ht="45" customHeight="1" x14ac:dyDescent="0.25">
      <c r="B15" s="1" t="s">
        <v>18</v>
      </c>
      <c r="C15" s="2" t="s">
        <v>19</v>
      </c>
    </row>
    <row r="16" spans="2:3" ht="45" customHeight="1" x14ac:dyDescent="0.25">
      <c r="B16" s="1" t="s">
        <v>20</v>
      </c>
      <c r="C16" s="2" t="s">
        <v>21</v>
      </c>
    </row>
    <row r="17" spans="2:3" ht="45" customHeight="1" x14ac:dyDescent="0.25">
      <c r="B17" s="1" t="s">
        <v>22</v>
      </c>
      <c r="C17" s="2" t="s">
        <v>23</v>
      </c>
    </row>
    <row r="18" spans="2:3" ht="45" customHeight="1" x14ac:dyDescent="0.25">
      <c r="B18" s="1" t="s">
        <v>24</v>
      </c>
      <c r="C18" s="2" t="s">
        <v>25</v>
      </c>
    </row>
    <row r="19" spans="2:3" ht="45" customHeight="1" x14ac:dyDescent="0.25">
      <c r="B19" s="1" t="s">
        <v>26</v>
      </c>
      <c r="C19" s="2" t="s">
        <v>27</v>
      </c>
    </row>
    <row r="20" spans="2:3" ht="45" customHeight="1" x14ac:dyDescent="0.25">
      <c r="B20" s="1" t="s">
        <v>28</v>
      </c>
      <c r="C20" s="2" t="s">
        <v>29</v>
      </c>
    </row>
    <row r="21" spans="2:3" ht="45" customHeight="1" x14ac:dyDescent="0.25">
      <c r="B21" s="1" t="s">
        <v>30</v>
      </c>
      <c r="C21" s="2" t="s">
        <v>31</v>
      </c>
    </row>
    <row r="22" spans="2:3" ht="45" customHeight="1" x14ac:dyDescent="0.25">
      <c r="B22" s="1" t="s">
        <v>32</v>
      </c>
      <c r="C22" s="2" t="s">
        <v>33</v>
      </c>
    </row>
    <row r="24" spans="2:3" ht="19.5" customHeight="1" x14ac:dyDescent="0.25">
      <c r="B24" s="36" t="s">
        <v>34</v>
      </c>
      <c r="C24" s="36"/>
    </row>
    <row r="25" spans="2:3" ht="45" customHeight="1" x14ac:dyDescent="0.25">
      <c r="B25" s="1" t="s">
        <v>35</v>
      </c>
      <c r="C25" s="2" t="s">
        <v>36</v>
      </c>
    </row>
    <row r="26" spans="2:3" ht="45" customHeight="1" x14ac:dyDescent="0.25">
      <c r="B26" s="1" t="s">
        <v>37</v>
      </c>
      <c r="C26" s="2" t="s">
        <v>38</v>
      </c>
    </row>
    <row r="27" spans="2:3" ht="45" customHeight="1" x14ac:dyDescent="0.25">
      <c r="B27" s="1" t="s">
        <v>39</v>
      </c>
      <c r="C27" s="2" t="s">
        <v>40</v>
      </c>
    </row>
    <row r="28" spans="2:3" ht="45" customHeight="1" x14ac:dyDescent="0.25">
      <c r="B28" s="1" t="s">
        <v>41</v>
      </c>
      <c r="C28" s="2" t="s">
        <v>42</v>
      </c>
    </row>
    <row r="29" spans="2:3" ht="45" customHeight="1" x14ac:dyDescent="0.25">
      <c r="B29" s="1" t="s">
        <v>43</v>
      </c>
      <c r="C29" s="2" t="s">
        <v>44</v>
      </c>
    </row>
    <row r="30" spans="2:3" ht="45" customHeight="1" x14ac:dyDescent="0.25">
      <c r="B30" s="1" t="s">
        <v>45</v>
      </c>
      <c r="C30" s="2" t="s">
        <v>46</v>
      </c>
    </row>
    <row r="32" spans="2:3" ht="19.5" customHeight="1" x14ac:dyDescent="0.25">
      <c r="B32" s="32" t="s">
        <v>47</v>
      </c>
      <c r="C32" s="32"/>
    </row>
    <row r="33" spans="2:3" ht="45" customHeight="1" x14ac:dyDescent="0.25">
      <c r="B33" s="1" t="s">
        <v>48</v>
      </c>
      <c r="C33" s="2" t="s">
        <v>49</v>
      </c>
    </row>
    <row r="34" spans="2:3" ht="45" customHeight="1" x14ac:dyDescent="0.25">
      <c r="B34" s="1" t="s">
        <v>50</v>
      </c>
      <c r="C34" s="2" t="s">
        <v>51</v>
      </c>
    </row>
    <row r="35" spans="2:3" ht="45" customHeight="1" x14ac:dyDescent="0.25">
      <c r="B35" s="1" t="s">
        <v>52</v>
      </c>
      <c r="C35" s="2" t="s">
        <v>53</v>
      </c>
    </row>
    <row r="36" spans="2:3" ht="45" customHeight="1" x14ac:dyDescent="0.25">
      <c r="B36" s="1" t="s">
        <v>54</v>
      </c>
      <c r="C36" s="2" t="s">
        <v>55</v>
      </c>
    </row>
  </sheetData>
  <sheetProtection password="DF22" sheet="1"/>
  <mergeCells count="6">
    <mergeCell ref="B32:C32"/>
    <mergeCell ref="B2:C2"/>
    <mergeCell ref="B3:C3"/>
    <mergeCell ref="B5:C5"/>
    <mergeCell ref="B12:C12"/>
    <mergeCell ref="B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1:E30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3" width="35" customWidth="1"/>
    <col min="4" max="5" width="20" customWidth="1"/>
  </cols>
  <sheetData>
    <row r="1" spans="2:5" ht="17.45" customHeight="1" x14ac:dyDescent="0.25">
      <c r="B1" s="38" t="s">
        <v>56</v>
      </c>
      <c r="C1" s="38"/>
      <c r="D1" s="38"/>
      <c r="E1" s="38"/>
    </row>
    <row r="2" spans="2:5" ht="15" customHeight="1" x14ac:dyDescent="0.25">
      <c r="B2" s="37" t="s">
        <v>57</v>
      </c>
      <c r="C2" s="37"/>
      <c r="D2" s="37"/>
      <c r="E2" s="37"/>
    </row>
    <row r="3" spans="2:5" x14ac:dyDescent="0.25">
      <c r="B3" s="3" t="s">
        <v>58</v>
      </c>
      <c r="C3" s="4"/>
    </row>
    <row r="4" spans="2:5" x14ac:dyDescent="0.25">
      <c r="B4" s="3" t="s">
        <v>59</v>
      </c>
      <c r="C4" s="4"/>
    </row>
    <row r="5" spans="2:5" x14ac:dyDescent="0.25">
      <c r="B5" s="3" t="s">
        <v>60</v>
      </c>
      <c r="C5" s="4"/>
    </row>
    <row r="6" spans="2:5" x14ac:dyDescent="0.25">
      <c r="B6" s="3" t="s">
        <v>61</v>
      </c>
      <c r="C6" s="4"/>
    </row>
    <row r="7" spans="2:5" x14ac:dyDescent="0.25">
      <c r="B7" s="3" t="s">
        <v>62</v>
      </c>
      <c r="C7" s="5">
        <v>46158</v>
      </c>
    </row>
    <row r="8" spans="2:5" x14ac:dyDescent="0.25">
      <c r="B8" s="3" t="s">
        <v>63</v>
      </c>
      <c r="C8" s="4" t="str">
        <f>IF(C6&lt;&gt;"",C6+730,"")</f>
        <v/>
      </c>
    </row>
    <row r="9" spans="2:5" x14ac:dyDescent="0.25">
      <c r="B9" s="3" t="s">
        <v>64</v>
      </c>
      <c r="C9" s="4" t="str">
        <f ca="1">IF(C7&lt;&gt;"",IF(C7-TODAY()&lt;=90,"⚠ RIVALUTAZIONE ENTRO 90 GG","OK"),"")</f>
        <v>⚠ RIVALUTAZIONE ENTRO 90 GG</v>
      </c>
    </row>
    <row r="11" spans="2:5" ht="15" customHeight="1" x14ac:dyDescent="0.25">
      <c r="B11" s="37" t="s">
        <v>65</v>
      </c>
      <c r="C11" s="37"/>
      <c r="D11" s="37"/>
      <c r="E11" s="37"/>
    </row>
    <row r="12" spans="2:5" x14ac:dyDescent="0.25">
      <c r="B12" s="3" t="s">
        <v>66</v>
      </c>
      <c r="C12" s="4"/>
    </row>
    <row r="13" spans="2:5" x14ac:dyDescent="0.25">
      <c r="B13" s="3" t="s">
        <v>67</v>
      </c>
      <c r="C13" s="4"/>
    </row>
    <row r="14" spans="2:5" x14ac:dyDescent="0.25">
      <c r="B14" s="3" t="s">
        <v>68</v>
      </c>
      <c r="C14" s="4"/>
    </row>
    <row r="15" spans="2:5" x14ac:dyDescent="0.25">
      <c r="B15" s="3" t="s">
        <v>69</v>
      </c>
      <c r="C15" s="4"/>
    </row>
    <row r="17" spans="2:5" ht="15" customHeight="1" x14ac:dyDescent="0.25">
      <c r="B17" s="37" t="s">
        <v>70</v>
      </c>
      <c r="C17" s="37"/>
      <c r="D17" s="37"/>
      <c r="E17" s="37"/>
    </row>
    <row r="18" spans="2:5" x14ac:dyDescent="0.25">
      <c r="B18" s="3" t="s">
        <v>71</v>
      </c>
      <c r="C18" s="4">
        <v>1</v>
      </c>
    </row>
    <row r="19" spans="2:5" x14ac:dyDescent="0.25">
      <c r="B19" s="3" t="s">
        <v>72</v>
      </c>
      <c r="C19" s="4" t="s">
        <v>73</v>
      </c>
    </row>
    <row r="21" spans="2:5" ht="15" customHeight="1" x14ac:dyDescent="0.25">
      <c r="B21" s="37" t="s">
        <v>74</v>
      </c>
      <c r="C21" s="37"/>
      <c r="D21" s="37"/>
      <c r="E21" s="37"/>
    </row>
    <row r="22" spans="2:5" x14ac:dyDescent="0.25">
      <c r="B22" s="3" t="s">
        <v>75</v>
      </c>
      <c r="C22" s="4">
        <v>2.2999999999999998</v>
      </c>
    </row>
    <row r="23" spans="2:5" x14ac:dyDescent="0.25">
      <c r="B23" s="3" t="s">
        <v>76</v>
      </c>
      <c r="C23" s="4">
        <v>3</v>
      </c>
    </row>
    <row r="24" spans="2:5" ht="15" customHeight="1" x14ac:dyDescent="0.25">
      <c r="B24" s="37" t="s">
        <v>77</v>
      </c>
      <c r="C24" s="37"/>
      <c r="D24" s="37"/>
      <c r="E24" s="37"/>
    </row>
    <row r="26" spans="2:5" ht="15" customHeight="1" x14ac:dyDescent="0.25">
      <c r="B26" s="37" t="s">
        <v>78</v>
      </c>
      <c r="C26" s="37"/>
      <c r="D26" s="37"/>
      <c r="E26" s="37"/>
    </row>
    <row r="27" spans="2:5" ht="25.5" x14ac:dyDescent="0.25">
      <c r="B27" s="3" t="s">
        <v>79</v>
      </c>
      <c r="C27" s="4">
        <v>2.5</v>
      </c>
    </row>
    <row r="28" spans="2:5" x14ac:dyDescent="0.25">
      <c r="B28" s="3" t="s">
        <v>80</v>
      </c>
      <c r="C28" s="4">
        <v>3.2</v>
      </c>
    </row>
    <row r="30" spans="2:5" x14ac:dyDescent="0.25">
      <c r="B30" s="3" t="s">
        <v>81</v>
      </c>
      <c r="C30" s="4"/>
    </row>
  </sheetData>
  <mergeCells count="7">
    <mergeCell ref="B24:E24"/>
    <mergeCell ref="B26:E26"/>
    <mergeCell ref="B1:E1"/>
    <mergeCell ref="B2:E2"/>
    <mergeCell ref="B11:E11"/>
    <mergeCell ref="B17:E17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H22"/>
  <sheetViews>
    <sheetView showGridLines="0" zoomScaleNormal="100" workbookViewId="0">
      <selection activeCell="D28" sqref="D28"/>
    </sheetView>
  </sheetViews>
  <sheetFormatPr defaultColWidth="8.7109375" defaultRowHeight="15" x14ac:dyDescent="0.25"/>
  <cols>
    <col min="1" max="1" width="14" customWidth="1"/>
    <col min="2" max="3" width="25" customWidth="1"/>
    <col min="4" max="4" width="18" customWidth="1"/>
    <col min="5" max="5" width="20" customWidth="1"/>
    <col min="6" max="7" width="16" customWidth="1"/>
    <col min="8" max="8" width="35" customWidth="1"/>
  </cols>
  <sheetData>
    <row r="1" spans="1:8" ht="16.149999999999999" customHeight="1" x14ac:dyDescent="0.25">
      <c r="A1" s="39" t="s">
        <v>82</v>
      </c>
      <c r="B1" s="39"/>
      <c r="C1" s="39"/>
      <c r="D1" s="39"/>
      <c r="E1" s="39"/>
      <c r="F1" s="39"/>
      <c r="G1" s="39"/>
      <c r="H1" s="39"/>
    </row>
    <row r="2" spans="1:8" x14ac:dyDescent="0.25">
      <c r="A2" s="6" t="s">
        <v>83</v>
      </c>
      <c r="B2" s="6" t="s">
        <v>84</v>
      </c>
      <c r="C2" s="6" t="s">
        <v>85</v>
      </c>
      <c r="D2" s="6" t="s">
        <v>86</v>
      </c>
      <c r="E2" s="6" t="s">
        <v>87</v>
      </c>
      <c r="F2" s="6" t="s">
        <v>88</v>
      </c>
      <c r="G2" s="6" t="s">
        <v>89</v>
      </c>
      <c r="H2" s="6" t="s">
        <v>90</v>
      </c>
    </row>
    <row r="3" spans="1:8" x14ac:dyDescent="0.25">
      <c r="A3" s="7" t="s">
        <v>91</v>
      </c>
      <c r="B3" s="7"/>
      <c r="C3" s="7"/>
      <c r="D3" s="7"/>
      <c r="E3" s="7"/>
      <c r="F3" s="7"/>
      <c r="G3" s="8" t="str">
        <f t="shared" ref="G3:G22" si="0">IF(OR(E3="Smart Working",E3="ICT Intensivo",E3="Smart+ICT"),"SÌ","NO")</f>
        <v>NO</v>
      </c>
      <c r="H3" s="7"/>
    </row>
    <row r="4" spans="1:8" x14ac:dyDescent="0.25">
      <c r="A4" s="7" t="s">
        <v>92</v>
      </c>
      <c r="B4" s="7"/>
      <c r="C4" s="7"/>
      <c r="D4" s="7"/>
      <c r="E4" s="7"/>
      <c r="F4" s="7"/>
      <c r="G4" s="8" t="str">
        <f t="shared" si="0"/>
        <v>NO</v>
      </c>
      <c r="H4" s="7"/>
    </row>
    <row r="5" spans="1:8" x14ac:dyDescent="0.25">
      <c r="A5" s="7" t="s">
        <v>93</v>
      </c>
      <c r="B5" s="7"/>
      <c r="C5" s="7"/>
      <c r="D5" s="7"/>
      <c r="E5" s="7"/>
      <c r="F5" s="7"/>
      <c r="G5" s="8" t="str">
        <f t="shared" si="0"/>
        <v>NO</v>
      </c>
      <c r="H5" s="7"/>
    </row>
    <row r="6" spans="1:8" x14ac:dyDescent="0.25">
      <c r="A6" s="7" t="s">
        <v>94</v>
      </c>
      <c r="B6" s="7"/>
      <c r="C6" s="7"/>
      <c r="D6" s="7"/>
      <c r="E6" s="7"/>
      <c r="F6" s="7"/>
      <c r="G6" s="8" t="str">
        <f t="shared" si="0"/>
        <v>NO</v>
      </c>
      <c r="H6" s="7"/>
    </row>
    <row r="7" spans="1:8" x14ac:dyDescent="0.25">
      <c r="A7" s="7" t="s">
        <v>95</v>
      </c>
      <c r="B7" s="7"/>
      <c r="C7" s="7"/>
      <c r="D7" s="7"/>
      <c r="E7" s="7"/>
      <c r="F7" s="7"/>
      <c r="G7" s="8" t="str">
        <f t="shared" si="0"/>
        <v>NO</v>
      </c>
      <c r="H7" s="7"/>
    </row>
    <row r="8" spans="1:8" x14ac:dyDescent="0.25">
      <c r="A8" s="7" t="s">
        <v>96</v>
      </c>
      <c r="B8" s="7"/>
      <c r="C8" s="7"/>
      <c r="D8" s="7"/>
      <c r="E8" s="7"/>
      <c r="F8" s="7"/>
      <c r="G8" s="8" t="str">
        <f t="shared" si="0"/>
        <v>NO</v>
      </c>
      <c r="H8" s="7"/>
    </row>
    <row r="9" spans="1:8" x14ac:dyDescent="0.25">
      <c r="A9" s="7" t="s">
        <v>97</v>
      </c>
      <c r="B9" s="7"/>
      <c r="C9" s="7"/>
      <c r="D9" s="7"/>
      <c r="E9" s="7"/>
      <c r="F9" s="7"/>
      <c r="G9" s="8" t="str">
        <f t="shared" si="0"/>
        <v>NO</v>
      </c>
      <c r="H9" s="7"/>
    </row>
    <row r="10" spans="1:8" x14ac:dyDescent="0.25">
      <c r="A10" s="7" t="s">
        <v>98</v>
      </c>
      <c r="B10" s="7"/>
      <c r="C10" s="7"/>
      <c r="D10" s="7"/>
      <c r="E10" s="7"/>
      <c r="F10" s="7"/>
      <c r="G10" s="8" t="str">
        <f t="shared" si="0"/>
        <v>NO</v>
      </c>
      <c r="H10" s="7"/>
    </row>
    <row r="11" spans="1:8" x14ac:dyDescent="0.25">
      <c r="A11" s="7" t="s">
        <v>99</v>
      </c>
      <c r="B11" s="7"/>
      <c r="C11" s="7"/>
      <c r="D11" s="7"/>
      <c r="E11" s="7"/>
      <c r="F11" s="7"/>
      <c r="G11" s="8" t="str">
        <f t="shared" si="0"/>
        <v>NO</v>
      </c>
      <c r="H11" s="7"/>
    </row>
    <row r="12" spans="1:8" x14ac:dyDescent="0.25">
      <c r="A12" s="7" t="s">
        <v>100</v>
      </c>
      <c r="B12" s="7"/>
      <c r="C12" s="7"/>
      <c r="D12" s="7"/>
      <c r="E12" s="7"/>
      <c r="F12" s="7"/>
      <c r="G12" s="8" t="str">
        <f t="shared" si="0"/>
        <v>NO</v>
      </c>
      <c r="H12" s="7"/>
    </row>
    <row r="13" spans="1:8" x14ac:dyDescent="0.25">
      <c r="A13" s="7" t="s">
        <v>101</v>
      </c>
      <c r="B13" s="7"/>
      <c r="C13" s="7"/>
      <c r="D13" s="7"/>
      <c r="E13" s="7"/>
      <c r="F13" s="7"/>
      <c r="G13" s="8" t="str">
        <f t="shared" si="0"/>
        <v>NO</v>
      </c>
      <c r="H13" s="7"/>
    </row>
    <row r="14" spans="1:8" x14ac:dyDescent="0.25">
      <c r="A14" s="7" t="s">
        <v>102</v>
      </c>
      <c r="B14" s="7"/>
      <c r="C14" s="7"/>
      <c r="D14" s="7"/>
      <c r="E14" s="7"/>
      <c r="F14" s="7"/>
      <c r="G14" s="8" t="str">
        <f t="shared" si="0"/>
        <v>NO</v>
      </c>
      <c r="H14" s="7"/>
    </row>
    <row r="15" spans="1:8" x14ac:dyDescent="0.25">
      <c r="A15" s="7" t="s">
        <v>103</v>
      </c>
      <c r="B15" s="7"/>
      <c r="C15" s="7"/>
      <c r="D15" s="7"/>
      <c r="E15" s="7"/>
      <c r="F15" s="7"/>
      <c r="G15" s="8" t="str">
        <f t="shared" si="0"/>
        <v>NO</v>
      </c>
      <c r="H15" s="7"/>
    </row>
    <row r="16" spans="1:8" x14ac:dyDescent="0.25">
      <c r="A16" s="7" t="s">
        <v>104</v>
      </c>
      <c r="B16" s="7"/>
      <c r="C16" s="7"/>
      <c r="D16" s="7"/>
      <c r="E16" s="7"/>
      <c r="F16" s="7"/>
      <c r="G16" s="8" t="str">
        <f t="shared" si="0"/>
        <v>NO</v>
      </c>
      <c r="H16" s="7"/>
    </row>
    <row r="17" spans="1:8" x14ac:dyDescent="0.25">
      <c r="A17" s="7" t="s">
        <v>105</v>
      </c>
      <c r="B17" s="7"/>
      <c r="C17" s="7"/>
      <c r="D17" s="7"/>
      <c r="E17" s="7"/>
      <c r="F17" s="7"/>
      <c r="G17" s="8" t="str">
        <f t="shared" si="0"/>
        <v>NO</v>
      </c>
      <c r="H17" s="7"/>
    </row>
    <row r="18" spans="1:8" x14ac:dyDescent="0.25">
      <c r="A18" s="7" t="s">
        <v>106</v>
      </c>
      <c r="B18" s="7"/>
      <c r="C18" s="7"/>
      <c r="D18" s="7"/>
      <c r="E18" s="7"/>
      <c r="F18" s="7"/>
      <c r="G18" s="8" t="str">
        <f t="shared" si="0"/>
        <v>NO</v>
      </c>
      <c r="H18" s="7"/>
    </row>
    <row r="19" spans="1:8" x14ac:dyDescent="0.25">
      <c r="A19" s="7" t="s">
        <v>107</v>
      </c>
      <c r="B19" s="7"/>
      <c r="C19" s="7"/>
      <c r="D19" s="7"/>
      <c r="E19" s="7"/>
      <c r="F19" s="7"/>
      <c r="G19" s="8" t="str">
        <f t="shared" si="0"/>
        <v>NO</v>
      </c>
      <c r="H19" s="7"/>
    </row>
    <row r="20" spans="1:8" x14ac:dyDescent="0.25">
      <c r="A20" s="7" t="s">
        <v>108</v>
      </c>
      <c r="B20" s="7"/>
      <c r="C20" s="7"/>
      <c r="D20" s="7"/>
      <c r="E20" s="7"/>
      <c r="F20" s="7"/>
      <c r="G20" s="8" t="str">
        <f t="shared" si="0"/>
        <v>NO</v>
      </c>
      <c r="H20" s="7"/>
    </row>
    <row r="21" spans="1:8" x14ac:dyDescent="0.25">
      <c r="A21" s="7" t="s">
        <v>109</v>
      </c>
      <c r="B21" s="7"/>
      <c r="C21" s="7"/>
      <c r="D21" s="7"/>
      <c r="E21" s="7"/>
      <c r="F21" s="7"/>
      <c r="G21" s="8" t="str">
        <f t="shared" si="0"/>
        <v>NO</v>
      </c>
      <c r="H21" s="7"/>
    </row>
    <row r="22" spans="1:8" x14ac:dyDescent="0.25">
      <c r="A22" s="7" t="s">
        <v>110</v>
      </c>
      <c r="B22" s="7"/>
      <c r="C22" s="7"/>
      <c r="D22" s="7"/>
      <c r="E22" s="7"/>
      <c r="F22" s="7"/>
      <c r="G22" s="8" t="str">
        <f t="shared" si="0"/>
        <v>NO</v>
      </c>
      <c r="H22" s="7"/>
    </row>
  </sheetData>
  <mergeCells count="1">
    <mergeCell ref="A1:H1"/>
  </mergeCells>
  <conditionalFormatting sqref="G3:G22">
    <cfRule type="cellIs" dxfId="36" priority="2" operator="equal">
      <formula>"SÌ"</formula>
    </cfRule>
  </conditionalFormatting>
  <dataValidations count="2">
    <dataValidation type="list" showErrorMessage="1" errorTitle="Valore non valido" error="Scegliere dalla lista." sqref="E3:E22" xr:uid="{00000000-0002-0000-0200-000000000000}">
      <formula1>"Standard,Smart Working,ICT Intensivo,Smart+ICT"</formula1>
      <formula2>0</formula2>
    </dataValidation>
    <dataValidation type="list" allowBlank="1" sqref="D3:D22" xr:uid="{00000000-0002-0000-0200-000001000000}">
      <formula1>"Giornaliero,Mattino,Pomeriggio,Notte,Turni Alternati"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L54"/>
  <sheetViews>
    <sheetView showGridLines="0" tabSelected="1" zoomScale="124" zoomScaleNormal="124" workbookViewId="0">
      <selection activeCell="J11" sqref="J11"/>
    </sheetView>
  </sheetViews>
  <sheetFormatPr defaultColWidth="8.7109375" defaultRowHeight="15" x14ac:dyDescent="0.25"/>
  <cols>
    <col min="1" max="2" width="18" customWidth="1"/>
    <col min="3" max="3" width="14" customWidth="1"/>
    <col min="4" max="13" width="8.85546875" customWidth="1"/>
    <col min="14" max="38" width="8" customWidth="1"/>
  </cols>
  <sheetData>
    <row r="1" spans="1:38" ht="15" customHeight="1" x14ac:dyDescent="0.25">
      <c r="A1" s="40" t="s">
        <v>111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spans="1:38" x14ac:dyDescent="0.25">
      <c r="A2" s="9" t="s">
        <v>112</v>
      </c>
      <c r="B2" s="9" t="s">
        <v>113</v>
      </c>
      <c r="C2" s="9" t="s">
        <v>83</v>
      </c>
      <c r="D2" s="9" t="s">
        <v>114</v>
      </c>
      <c r="E2" s="9" t="s">
        <v>115</v>
      </c>
      <c r="F2" s="9" t="s">
        <v>116</v>
      </c>
      <c r="G2" s="9" t="s">
        <v>117</v>
      </c>
      <c r="H2" s="9" t="s">
        <v>118</v>
      </c>
      <c r="I2" s="9" t="s">
        <v>119</v>
      </c>
      <c r="J2" s="9" t="s">
        <v>120</v>
      </c>
      <c r="K2" s="9" t="s">
        <v>121</v>
      </c>
      <c r="L2" s="9" t="s">
        <v>122</v>
      </c>
      <c r="M2" s="9" t="s">
        <v>123</v>
      </c>
      <c r="N2" s="9" t="s">
        <v>124</v>
      </c>
      <c r="O2" s="9" t="s">
        <v>125</v>
      </c>
      <c r="P2" s="9" t="s">
        <v>126</v>
      </c>
      <c r="Q2" s="9" t="s">
        <v>127</v>
      </c>
      <c r="R2" s="9" t="s">
        <v>128</v>
      </c>
      <c r="S2" s="9" t="s">
        <v>129</v>
      </c>
      <c r="T2" s="9" t="s">
        <v>130</v>
      </c>
      <c r="U2" s="9" t="s">
        <v>131</v>
      </c>
      <c r="V2" s="9" t="s">
        <v>132</v>
      </c>
      <c r="W2" s="9" t="s">
        <v>133</v>
      </c>
      <c r="X2" s="9" t="s">
        <v>134</v>
      </c>
      <c r="Y2" s="9" t="s">
        <v>135</v>
      </c>
      <c r="Z2" s="9" t="s">
        <v>136</v>
      </c>
      <c r="AA2" s="9" t="s">
        <v>137</v>
      </c>
      <c r="AB2" s="9" t="s">
        <v>138</v>
      </c>
      <c r="AC2" s="9" t="s">
        <v>139</v>
      </c>
      <c r="AD2" s="9" t="s">
        <v>140</v>
      </c>
      <c r="AE2" s="9" t="s">
        <v>141</v>
      </c>
      <c r="AF2" s="9" t="s">
        <v>142</v>
      </c>
      <c r="AG2" s="9" t="s">
        <v>143</v>
      </c>
      <c r="AH2" s="9" t="s">
        <v>144</v>
      </c>
      <c r="AI2" s="9" t="s">
        <v>145</v>
      </c>
      <c r="AJ2" s="9" t="s">
        <v>146</v>
      </c>
      <c r="AK2" s="9" t="s">
        <v>147</v>
      </c>
      <c r="AL2" s="9" t="s">
        <v>148</v>
      </c>
    </row>
    <row r="3" spans="1:38" ht="22.5" x14ac:dyDescent="0.25">
      <c r="A3" s="10"/>
      <c r="B3" s="10"/>
      <c r="C3" s="10"/>
      <c r="D3" s="11" t="s">
        <v>149</v>
      </c>
      <c r="E3" s="11" t="s">
        <v>149</v>
      </c>
      <c r="F3" s="11" t="s">
        <v>149</v>
      </c>
      <c r="G3" s="11" t="s">
        <v>149</v>
      </c>
      <c r="H3" s="11" t="s">
        <v>149</v>
      </c>
      <c r="I3" s="11" t="s">
        <v>149</v>
      </c>
      <c r="J3" s="11" t="s">
        <v>149</v>
      </c>
      <c r="K3" s="11" t="s">
        <v>149</v>
      </c>
      <c r="L3" s="11" t="s">
        <v>149</v>
      </c>
      <c r="M3" s="11" t="s">
        <v>149</v>
      </c>
      <c r="N3" s="12" t="s">
        <v>150</v>
      </c>
      <c r="O3" s="12" t="s">
        <v>150</v>
      </c>
      <c r="P3" s="12" t="s">
        <v>150</v>
      </c>
      <c r="Q3" s="12" t="s">
        <v>150</v>
      </c>
      <c r="R3" s="12" t="s">
        <v>150</v>
      </c>
      <c r="S3" s="12" t="s">
        <v>150</v>
      </c>
      <c r="T3" s="12" t="s">
        <v>150</v>
      </c>
      <c r="U3" s="12" t="s">
        <v>150</v>
      </c>
      <c r="V3" s="12" t="s">
        <v>150</v>
      </c>
      <c r="W3" s="13" t="s">
        <v>151</v>
      </c>
      <c r="X3" s="13" t="s">
        <v>151</v>
      </c>
      <c r="Y3" s="13" t="s">
        <v>151</v>
      </c>
      <c r="Z3" s="13" t="s">
        <v>151</v>
      </c>
      <c r="AA3" s="13" t="s">
        <v>151</v>
      </c>
      <c r="AB3" s="13" t="s">
        <v>151</v>
      </c>
      <c r="AC3" s="13" t="s">
        <v>151</v>
      </c>
      <c r="AD3" s="13" t="s">
        <v>151</v>
      </c>
      <c r="AE3" s="14" t="s">
        <v>152</v>
      </c>
      <c r="AF3" s="14" t="s">
        <v>152</v>
      </c>
      <c r="AG3" s="14" t="s">
        <v>152</v>
      </c>
      <c r="AH3" s="14" t="s">
        <v>152</v>
      </c>
      <c r="AI3" s="14" t="s">
        <v>152</v>
      </c>
      <c r="AJ3" s="15" t="s">
        <v>153</v>
      </c>
      <c r="AK3" s="15" t="s">
        <v>153</v>
      </c>
      <c r="AL3" s="15" t="s">
        <v>153</v>
      </c>
    </row>
    <row r="4" spans="1:38" ht="120" customHeight="1" x14ac:dyDescent="0.25">
      <c r="A4" s="10" t="s">
        <v>154</v>
      </c>
      <c r="B4" s="10" t="s">
        <v>155</v>
      </c>
      <c r="C4" s="10" t="s">
        <v>156</v>
      </c>
      <c r="D4" s="16" t="s">
        <v>157</v>
      </c>
      <c r="E4" s="17" t="s">
        <v>158</v>
      </c>
      <c r="F4" s="17" t="s">
        <v>159</v>
      </c>
      <c r="G4" s="16" t="s">
        <v>160</v>
      </c>
      <c r="H4" s="17" t="s">
        <v>161</v>
      </c>
      <c r="I4" s="16" t="s">
        <v>162</v>
      </c>
      <c r="J4" s="16" t="s">
        <v>163</v>
      </c>
      <c r="K4" s="16" t="s">
        <v>164</v>
      </c>
      <c r="L4" s="16" t="s">
        <v>165</v>
      </c>
      <c r="M4" s="16" t="s">
        <v>166</v>
      </c>
      <c r="N4" s="16" t="s">
        <v>167</v>
      </c>
      <c r="O4" s="16" t="s">
        <v>168</v>
      </c>
      <c r="P4" s="16" t="s">
        <v>169</v>
      </c>
      <c r="Q4" s="17" t="s">
        <v>170</v>
      </c>
      <c r="R4" s="17" t="s">
        <v>171</v>
      </c>
      <c r="S4" s="17" t="s">
        <v>172</v>
      </c>
      <c r="T4" s="16" t="s">
        <v>173</v>
      </c>
      <c r="U4" s="16" t="s">
        <v>174</v>
      </c>
      <c r="V4" s="16" t="s">
        <v>175</v>
      </c>
      <c r="W4" s="16" t="s">
        <v>176</v>
      </c>
      <c r="X4" s="17" t="s">
        <v>177</v>
      </c>
      <c r="Y4" s="17" t="s">
        <v>178</v>
      </c>
      <c r="Z4" s="16" t="s">
        <v>179</v>
      </c>
      <c r="AA4" s="17" t="s">
        <v>180</v>
      </c>
      <c r="AB4" s="16" t="s">
        <v>181</v>
      </c>
      <c r="AC4" s="16" t="s">
        <v>182</v>
      </c>
      <c r="AD4" s="16" t="s">
        <v>183</v>
      </c>
      <c r="AE4" s="16" t="s">
        <v>184</v>
      </c>
      <c r="AF4" s="17" t="s">
        <v>185</v>
      </c>
      <c r="AG4" s="16" t="s">
        <v>186</v>
      </c>
      <c r="AH4" s="17" t="s">
        <v>187</v>
      </c>
      <c r="AI4" s="16" t="s">
        <v>188</v>
      </c>
      <c r="AJ4" s="16" t="s">
        <v>189</v>
      </c>
      <c r="AK4" s="17" t="s">
        <v>190</v>
      </c>
      <c r="AL4" s="16" t="s">
        <v>191</v>
      </c>
    </row>
    <row r="5" spans="1:38" x14ac:dyDescent="0.25">
      <c r="A5" s="18" t="s">
        <v>192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x14ac:dyDescent="0.25">
      <c r="A6" s="18" t="s">
        <v>193</v>
      </c>
      <c r="B6" s="19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</row>
    <row r="7" spans="1:38" x14ac:dyDescent="0.25">
      <c r="A7" s="18" t="s">
        <v>194</v>
      </c>
      <c r="B7" s="19"/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</row>
    <row r="8" spans="1:38" x14ac:dyDescent="0.25">
      <c r="A8" s="18" t="s">
        <v>195</v>
      </c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</row>
    <row r="9" spans="1:38" x14ac:dyDescent="0.25">
      <c r="A9" s="18" t="s">
        <v>196</v>
      </c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</row>
    <row r="10" spans="1:38" x14ac:dyDescent="0.25">
      <c r="A10" s="18" t="s">
        <v>197</v>
      </c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</row>
    <row r="11" spans="1:38" x14ac:dyDescent="0.25">
      <c r="A11" s="18" t="s">
        <v>198</v>
      </c>
      <c r="B11" s="19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</row>
    <row r="12" spans="1:38" x14ac:dyDescent="0.25">
      <c r="A12" s="18" t="s">
        <v>199</v>
      </c>
      <c r="B12" s="19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</row>
    <row r="13" spans="1:38" x14ac:dyDescent="0.25">
      <c r="A13" s="18" t="s">
        <v>200</v>
      </c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</row>
    <row r="14" spans="1:38" x14ac:dyDescent="0.25">
      <c r="A14" s="18" t="s">
        <v>201</v>
      </c>
      <c r="B14" s="19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</row>
    <row r="15" spans="1:38" x14ac:dyDescent="0.25">
      <c r="A15" s="18" t="s">
        <v>202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</row>
    <row r="16" spans="1:38" x14ac:dyDescent="0.25">
      <c r="A16" s="18" t="s">
        <v>203</v>
      </c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spans="1:38" x14ac:dyDescent="0.25">
      <c r="A17" s="18" t="s">
        <v>204</v>
      </c>
      <c r="B17" s="19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spans="1:38" x14ac:dyDescent="0.25">
      <c r="A18" s="18" t="s">
        <v>205</v>
      </c>
      <c r="B18" s="19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spans="1:38" x14ac:dyDescent="0.25">
      <c r="A19" s="18" t="s">
        <v>206</v>
      </c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spans="1:38" x14ac:dyDescent="0.25">
      <c r="A20" s="18" t="s">
        <v>207</v>
      </c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spans="1:38" x14ac:dyDescent="0.25">
      <c r="A21" s="18" t="s">
        <v>208</v>
      </c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spans="1:38" x14ac:dyDescent="0.25">
      <c r="A22" s="18" t="s">
        <v>209</v>
      </c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spans="1:38" x14ac:dyDescent="0.25">
      <c r="A23" s="18" t="s">
        <v>210</v>
      </c>
      <c r="B23" s="19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spans="1:38" x14ac:dyDescent="0.25">
      <c r="A24" s="18" t="s">
        <v>211</v>
      </c>
      <c r="B24" s="19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spans="1:38" x14ac:dyDescent="0.25">
      <c r="A25" s="18" t="s">
        <v>212</v>
      </c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spans="1:38" x14ac:dyDescent="0.25">
      <c r="A26" s="18" t="s">
        <v>213</v>
      </c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spans="1:38" x14ac:dyDescent="0.25">
      <c r="A27" s="18" t="s">
        <v>214</v>
      </c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spans="1:38" x14ac:dyDescent="0.25">
      <c r="A28" s="18" t="s">
        <v>215</v>
      </c>
      <c r="B28" s="19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spans="1:38" x14ac:dyDescent="0.25">
      <c r="A29" s="18" t="s">
        <v>216</v>
      </c>
      <c r="B29" s="19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spans="1:38" x14ac:dyDescent="0.25">
      <c r="A30" s="18" t="s">
        <v>217</v>
      </c>
      <c r="B30" s="19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spans="1:38" x14ac:dyDescent="0.25">
      <c r="A31" s="18" t="s">
        <v>218</v>
      </c>
      <c r="B31" s="19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spans="1:38" x14ac:dyDescent="0.25">
      <c r="A32" s="18" t="s">
        <v>219</v>
      </c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spans="1:38" x14ac:dyDescent="0.25">
      <c r="A33" s="18" t="s">
        <v>220</v>
      </c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spans="1:38" x14ac:dyDescent="0.25">
      <c r="A34" s="18" t="s">
        <v>221</v>
      </c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spans="1:38" x14ac:dyDescent="0.25">
      <c r="A35" s="18" t="s">
        <v>222</v>
      </c>
      <c r="B35" s="19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1:38" x14ac:dyDescent="0.25">
      <c r="A36" s="18" t="s">
        <v>223</v>
      </c>
      <c r="B36" s="19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1:38" x14ac:dyDescent="0.25">
      <c r="A37" s="18" t="s">
        <v>224</v>
      </c>
      <c r="B37" s="19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1:38" x14ac:dyDescent="0.25">
      <c r="A38" s="18" t="s">
        <v>225</v>
      </c>
      <c r="B38" s="19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spans="1:38" x14ac:dyDescent="0.25">
      <c r="A39" s="18" t="s">
        <v>226</v>
      </c>
      <c r="B39" s="19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spans="1:38" x14ac:dyDescent="0.25">
      <c r="A40" s="18" t="s">
        <v>227</v>
      </c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spans="1:38" x14ac:dyDescent="0.25">
      <c r="A41" s="18" t="s">
        <v>228</v>
      </c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spans="1:38" x14ac:dyDescent="0.25">
      <c r="A42" s="18" t="s">
        <v>229</v>
      </c>
      <c r="B42" s="19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1:38" x14ac:dyDescent="0.25">
      <c r="A43" s="18" t="s">
        <v>230</v>
      </c>
      <c r="B43" s="19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pans="1:38" x14ac:dyDescent="0.25">
      <c r="A44" s="18" t="s">
        <v>231</v>
      </c>
      <c r="B44" s="19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1:38" x14ac:dyDescent="0.25">
      <c r="A45" s="18" t="s">
        <v>232</v>
      </c>
      <c r="B45" s="19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spans="1:38" x14ac:dyDescent="0.25">
      <c r="A46" s="18" t="s">
        <v>233</v>
      </c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spans="1:38" x14ac:dyDescent="0.25">
      <c r="A47" s="18" t="s">
        <v>234</v>
      </c>
      <c r="B47" s="19"/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spans="1:38" x14ac:dyDescent="0.25">
      <c r="A48" s="18" t="s">
        <v>235</v>
      </c>
      <c r="B48" s="19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spans="1:38" x14ac:dyDescent="0.25">
      <c r="A49" s="18" t="s">
        <v>236</v>
      </c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spans="1:38" x14ac:dyDescent="0.25">
      <c r="A50" s="18" t="s">
        <v>237</v>
      </c>
      <c r="B50" s="19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spans="1:38" x14ac:dyDescent="0.25">
      <c r="A51" s="18" t="s">
        <v>238</v>
      </c>
      <c r="B51" s="19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spans="1:38" x14ac:dyDescent="0.25">
      <c r="A52" s="18" t="s">
        <v>239</v>
      </c>
      <c r="B52" s="19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spans="1:38" x14ac:dyDescent="0.25">
      <c r="A53" s="18" t="s">
        <v>240</v>
      </c>
      <c r="B53" s="19"/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spans="1:38" x14ac:dyDescent="0.25">
      <c r="A54" s="18" t="s">
        <v>241</v>
      </c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</sheetData>
  <mergeCells count="1">
    <mergeCell ref="A1:AJ1"/>
  </mergeCells>
  <conditionalFormatting sqref="D5:AL5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6:AL6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7:AL7">
    <cfRule type="colorScale" priority="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8:AL8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9:AL9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0:AL10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1:AL11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2:AL12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3:AL13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4:AL14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5:AL15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6:AL16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7:AL17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8:AL18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9:AL19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0:AL20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1:AL21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2:AL22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3:AL23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4:AL24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5:AL25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6:AL26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7:AL27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8:AL28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9:AL29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0:AL30">
    <cfRule type="colorScale" priority="2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1:AL31">
    <cfRule type="colorScale" priority="2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2:AL32">
    <cfRule type="colorScale" priority="2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3:AL33">
    <cfRule type="colorScale" priority="3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4:AL34">
    <cfRule type="colorScale" priority="3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5:AL35">
    <cfRule type="colorScale" priority="3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6:AL36">
    <cfRule type="colorScale" priority="3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7:AL37">
    <cfRule type="colorScale" priority="3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8:AL38">
    <cfRule type="colorScale" priority="3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9:AL39">
    <cfRule type="colorScale" priority="3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0:AL40">
    <cfRule type="colorScale" priority="3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1:AL41">
    <cfRule type="colorScale" priority="3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2:AL42">
    <cfRule type="colorScale" priority="3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3:AL43">
    <cfRule type="colorScale" priority="4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4:AL44">
    <cfRule type="colorScale" priority="4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5:AL45">
    <cfRule type="colorScale" priority="4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6:AL46">
    <cfRule type="colorScale" priority="4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7:AL47">
    <cfRule type="colorScale" priority="4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8:AL48">
    <cfRule type="colorScale" priority="4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9:AL49">
    <cfRule type="colorScale" priority="4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0:AL50">
    <cfRule type="colorScale" priority="4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1:AL51">
    <cfRule type="colorScale" priority="4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2:AL52">
    <cfRule type="colorScale" priority="4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3:AL53">
    <cfRule type="colorScale" priority="5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4:AL54">
    <cfRule type="colorScale" priority="5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errorTitle="Valore non valido" error="Inserire solo valori da 1 a 5." promptTitle="Risposta Likert" prompt="Inserire un valore da 1 (mai/per nulla) a 5 (sempre/moltissimo)" sqref="D5:AL54" xr:uid="{00000000-0002-0000-03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0000000-0002-0000-0300-000001000000}">
          <x14:formula1>
            <xm:f>Gruppi_Omogenei!$A$3:$A$22</xm:f>
          </x14:formula1>
          <x14:formula2>
            <xm:f>0</xm:f>
          </x14:formula2>
          <xm:sqref>C5:C54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AD54"/>
  <sheetViews>
    <sheetView showGridLines="0" zoomScale="150" zoomScaleNormal="150" workbookViewId="0">
      <selection activeCell="D4" sqref="D4"/>
    </sheetView>
  </sheetViews>
  <sheetFormatPr defaultColWidth="8.7109375" defaultRowHeight="15" x14ac:dyDescent="0.25"/>
  <cols>
    <col min="1" max="3" width="12" customWidth="1"/>
    <col min="4" max="30" width="8" customWidth="1"/>
  </cols>
  <sheetData>
    <row r="1" spans="1:30" ht="15" customHeight="1" x14ac:dyDescent="0.25">
      <c r="A1" s="41" t="s">
        <v>242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30" ht="24" x14ac:dyDescent="0.25">
      <c r="A2" s="22" t="s">
        <v>112</v>
      </c>
      <c r="B2" s="22" t="s">
        <v>113</v>
      </c>
      <c r="C2" s="22" t="s">
        <v>83</v>
      </c>
      <c r="D2" s="22" t="s">
        <v>243</v>
      </c>
      <c r="E2" s="22" t="s">
        <v>244</v>
      </c>
      <c r="F2" s="22" t="s">
        <v>245</v>
      </c>
      <c r="G2" s="22" t="s">
        <v>246</v>
      </c>
      <c r="H2" s="22" t="s">
        <v>247</v>
      </c>
      <c r="I2" s="22" t="s">
        <v>248</v>
      </c>
      <c r="J2" s="22" t="s">
        <v>249</v>
      </c>
      <c r="K2" s="22" t="s">
        <v>250</v>
      </c>
      <c r="L2" s="22" t="s">
        <v>251</v>
      </c>
      <c r="M2" s="22" t="s">
        <v>252</v>
      </c>
      <c r="N2" s="22" t="s">
        <v>253</v>
      </c>
      <c r="O2" s="22" t="s">
        <v>254</v>
      </c>
      <c r="P2" s="22" t="s">
        <v>255</v>
      </c>
      <c r="Q2" s="22" t="s">
        <v>256</v>
      </c>
      <c r="R2" s="22" t="s">
        <v>257</v>
      </c>
      <c r="S2" s="22" t="s">
        <v>258</v>
      </c>
      <c r="T2" s="22" t="s">
        <v>259</v>
      </c>
      <c r="U2" s="22" t="s">
        <v>260</v>
      </c>
      <c r="V2" s="22" t="s">
        <v>261</v>
      </c>
      <c r="W2" s="22" t="s">
        <v>262</v>
      </c>
      <c r="X2" s="22" t="s">
        <v>263</v>
      </c>
      <c r="Y2" s="22" t="s">
        <v>264</v>
      </c>
      <c r="Z2" s="22" t="s">
        <v>265</v>
      </c>
      <c r="AA2" s="22" t="s">
        <v>266</v>
      </c>
      <c r="AB2" s="22" t="s">
        <v>267</v>
      </c>
      <c r="AC2" s="22" t="s">
        <v>268</v>
      </c>
      <c r="AD2" s="22" t="s">
        <v>269</v>
      </c>
    </row>
    <row r="3" spans="1:30" ht="22.5" x14ac:dyDescent="0.25">
      <c r="D3" s="11" t="s">
        <v>270</v>
      </c>
      <c r="E3" s="11" t="s">
        <v>270</v>
      </c>
      <c r="F3" s="11" t="s">
        <v>270</v>
      </c>
      <c r="G3" s="11" t="s">
        <v>270</v>
      </c>
      <c r="H3" s="11" t="s">
        <v>270</v>
      </c>
      <c r="I3" s="11" t="s">
        <v>270</v>
      </c>
      <c r="J3" s="11" t="s">
        <v>270</v>
      </c>
      <c r="K3" s="11" t="s">
        <v>270</v>
      </c>
      <c r="L3" s="11" t="s">
        <v>270</v>
      </c>
      <c r="M3" s="11" t="s">
        <v>270</v>
      </c>
      <c r="N3" s="14" t="s">
        <v>271</v>
      </c>
      <c r="O3" s="14" t="s">
        <v>271</v>
      </c>
      <c r="P3" s="14" t="s">
        <v>271</v>
      </c>
      <c r="Q3" s="14" t="s">
        <v>271</v>
      </c>
      <c r="R3" s="14" t="s">
        <v>271</v>
      </c>
      <c r="S3" s="14" t="s">
        <v>271</v>
      </c>
      <c r="T3" s="14" t="s">
        <v>271</v>
      </c>
      <c r="U3" s="14" t="s">
        <v>271</v>
      </c>
      <c r="V3" s="14" t="s">
        <v>271</v>
      </c>
      <c r="W3" s="14" t="s">
        <v>271</v>
      </c>
      <c r="X3" s="14" t="s">
        <v>271</v>
      </c>
      <c r="Y3" s="14" t="s">
        <v>271</v>
      </c>
      <c r="Z3" s="14" t="s">
        <v>271</v>
      </c>
      <c r="AA3" s="14" t="s">
        <v>271</v>
      </c>
      <c r="AB3" s="14" t="s">
        <v>271</v>
      </c>
      <c r="AC3" s="12" t="s">
        <v>272</v>
      </c>
      <c r="AD3" s="12" t="s">
        <v>272</v>
      </c>
    </row>
    <row r="4" spans="1:30" ht="120" customHeight="1" x14ac:dyDescent="0.25">
      <c r="D4" s="16" t="s">
        <v>273</v>
      </c>
      <c r="E4" s="16" t="s">
        <v>274</v>
      </c>
      <c r="F4" s="17" t="s">
        <v>275</v>
      </c>
      <c r="G4" s="17" t="s">
        <v>276</v>
      </c>
      <c r="H4" s="16" t="s">
        <v>277</v>
      </c>
      <c r="I4" s="16" t="s">
        <v>278</v>
      </c>
      <c r="J4" s="17" t="s">
        <v>279</v>
      </c>
      <c r="K4" s="16" t="s">
        <v>280</v>
      </c>
      <c r="L4" s="17" t="s">
        <v>281</v>
      </c>
      <c r="M4" s="16" t="s">
        <v>282</v>
      </c>
      <c r="N4" s="17" t="s">
        <v>283</v>
      </c>
      <c r="O4" s="17" t="s">
        <v>284</v>
      </c>
      <c r="P4" s="17" t="s">
        <v>285</v>
      </c>
      <c r="Q4" s="17" t="s">
        <v>286</v>
      </c>
      <c r="R4" s="17" t="s">
        <v>287</v>
      </c>
      <c r="S4" s="17" t="s">
        <v>288</v>
      </c>
      <c r="T4" s="17" t="s">
        <v>289</v>
      </c>
      <c r="U4" s="17" t="s">
        <v>290</v>
      </c>
      <c r="V4" s="16" t="s">
        <v>291</v>
      </c>
      <c r="W4" s="16" t="s">
        <v>292</v>
      </c>
      <c r="X4" s="16" t="s">
        <v>293</v>
      </c>
      <c r="Y4" s="16" t="s">
        <v>294</v>
      </c>
      <c r="Z4" s="17" t="s">
        <v>295</v>
      </c>
      <c r="AA4" s="17" t="s">
        <v>296</v>
      </c>
      <c r="AB4" s="16" t="s">
        <v>297</v>
      </c>
      <c r="AC4" s="17" t="s">
        <v>298</v>
      </c>
      <c r="AD4" s="16" t="s">
        <v>299</v>
      </c>
    </row>
    <row r="5" spans="1:30" x14ac:dyDescent="0.25">
      <c r="A5" s="18" t="s">
        <v>192</v>
      </c>
      <c r="B5" s="19"/>
      <c r="C5" s="20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25">
      <c r="A6" s="18" t="s">
        <v>193</v>
      </c>
      <c r="B6" s="19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x14ac:dyDescent="0.25">
      <c r="A7" s="18" t="s">
        <v>194</v>
      </c>
      <c r="B7" s="19"/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25">
      <c r="A8" s="18" t="s">
        <v>195</v>
      </c>
      <c r="B8" s="19"/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25">
      <c r="A9" s="18" t="s">
        <v>196</v>
      </c>
      <c r="B9" s="19"/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25">
      <c r="A10" s="18" t="s">
        <v>197</v>
      </c>
      <c r="B10" s="19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25">
      <c r="A11" s="18" t="s">
        <v>198</v>
      </c>
      <c r="B11" s="19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25">
      <c r="A12" s="18" t="s">
        <v>199</v>
      </c>
      <c r="B12" s="19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25">
      <c r="A13" s="18" t="s">
        <v>200</v>
      </c>
      <c r="B13" s="19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25">
      <c r="A14" s="18" t="s">
        <v>201</v>
      </c>
      <c r="B14" s="19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25">
      <c r="A15" s="18" t="s">
        <v>202</v>
      </c>
      <c r="B15" s="19"/>
      <c r="C15" s="20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25">
      <c r="A16" s="18" t="s">
        <v>203</v>
      </c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25">
      <c r="A17" s="18" t="s">
        <v>204</v>
      </c>
      <c r="B17" s="19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25">
      <c r="A18" s="18" t="s">
        <v>205</v>
      </c>
      <c r="B18" s="19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25">
      <c r="A19" s="18" t="s">
        <v>206</v>
      </c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25">
      <c r="A20" s="18" t="s">
        <v>207</v>
      </c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25">
      <c r="A21" s="18" t="s">
        <v>208</v>
      </c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25">
      <c r="A22" s="18" t="s">
        <v>209</v>
      </c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25">
      <c r="A23" s="18" t="s">
        <v>210</v>
      </c>
      <c r="B23" s="19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25">
      <c r="A24" s="18" t="s">
        <v>211</v>
      </c>
      <c r="B24" s="19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25">
      <c r="A25" s="18" t="s">
        <v>212</v>
      </c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25">
      <c r="A26" s="18" t="s">
        <v>213</v>
      </c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25">
      <c r="A27" s="18" t="s">
        <v>214</v>
      </c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25">
      <c r="A28" s="18" t="s">
        <v>215</v>
      </c>
      <c r="B28" s="19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25">
      <c r="A29" s="18" t="s">
        <v>216</v>
      </c>
      <c r="B29" s="19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25">
      <c r="A30" s="18" t="s">
        <v>217</v>
      </c>
      <c r="B30" s="19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25">
      <c r="A31" s="18" t="s">
        <v>218</v>
      </c>
      <c r="B31" s="19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25">
      <c r="A32" s="18" t="s">
        <v>219</v>
      </c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25">
      <c r="A33" s="18" t="s">
        <v>220</v>
      </c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25">
      <c r="A34" s="18" t="s">
        <v>221</v>
      </c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25">
      <c r="A35" s="18" t="s">
        <v>222</v>
      </c>
      <c r="B35" s="19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25">
      <c r="A36" s="18" t="s">
        <v>223</v>
      </c>
      <c r="B36" s="19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25">
      <c r="A37" s="18" t="s">
        <v>224</v>
      </c>
      <c r="B37" s="19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25">
      <c r="A38" s="18" t="s">
        <v>225</v>
      </c>
      <c r="B38" s="19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25">
      <c r="A39" s="18" t="s">
        <v>226</v>
      </c>
      <c r="B39" s="19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25">
      <c r="A40" s="18" t="s">
        <v>227</v>
      </c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25">
      <c r="A41" s="18" t="s">
        <v>228</v>
      </c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25">
      <c r="A42" s="18" t="s">
        <v>229</v>
      </c>
      <c r="B42" s="19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25">
      <c r="A43" s="18" t="s">
        <v>230</v>
      </c>
      <c r="B43" s="19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25">
      <c r="A44" s="18" t="s">
        <v>231</v>
      </c>
      <c r="B44" s="19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25">
      <c r="A45" s="18" t="s">
        <v>232</v>
      </c>
      <c r="B45" s="19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25">
      <c r="A46" s="18" t="s">
        <v>233</v>
      </c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25">
      <c r="A47" s="18" t="s">
        <v>234</v>
      </c>
      <c r="B47" s="19"/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25">
      <c r="A48" s="18" t="s">
        <v>235</v>
      </c>
      <c r="B48" s="19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25">
      <c r="A49" s="18" t="s">
        <v>236</v>
      </c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25">
      <c r="A50" s="18" t="s">
        <v>237</v>
      </c>
      <c r="B50" s="19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 spans="1:30" x14ac:dyDescent="0.25">
      <c r="A51" s="18" t="s">
        <v>238</v>
      </c>
      <c r="B51" s="19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0" x14ac:dyDescent="0.25">
      <c r="A52" s="18" t="s">
        <v>239</v>
      </c>
      <c r="B52" s="19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 spans="1:30" x14ac:dyDescent="0.25">
      <c r="A53" s="18" t="s">
        <v>240</v>
      </c>
      <c r="B53" s="19"/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</row>
    <row r="54" spans="1:30" x14ac:dyDescent="0.25">
      <c r="A54" s="18" t="s">
        <v>241</v>
      </c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</sheetData>
  <mergeCells count="1">
    <mergeCell ref="A1:AD1"/>
  </mergeCells>
  <conditionalFormatting sqref="D5:AD5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6:AD6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7:AD7">
    <cfRule type="colorScale" priority="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8:AD8">
    <cfRule type="colorScale" priority="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9:AD9">
    <cfRule type="colorScale" priority="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0:AD10">
    <cfRule type="colorScale" priority="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1:AD11">
    <cfRule type="colorScale" priority="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2:AD12">
    <cfRule type="colorScale" priority="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3:AD13">
    <cfRule type="colorScale" priority="1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4:AD14">
    <cfRule type="colorScale" priority="1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5:AD15">
    <cfRule type="colorScale" priority="1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6:AD16">
    <cfRule type="colorScale" priority="1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7:AD17">
    <cfRule type="colorScale" priority="1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8:AD18">
    <cfRule type="colorScale" priority="1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19:AD19">
    <cfRule type="colorScale" priority="1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0:AD20">
    <cfRule type="colorScale" priority="1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1:AD21">
    <cfRule type="colorScale" priority="1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2:AD22">
    <cfRule type="colorScale" priority="1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3:AD23">
    <cfRule type="colorScale" priority="2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4:AD24">
    <cfRule type="colorScale" priority="2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5:AD25">
    <cfRule type="colorScale" priority="2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6:AD26">
    <cfRule type="colorScale" priority="2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7:AD27">
    <cfRule type="colorScale" priority="2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8:AD28">
    <cfRule type="colorScale" priority="2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29:AD29">
    <cfRule type="colorScale" priority="2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0:AD30">
    <cfRule type="colorScale" priority="2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1:AD31">
    <cfRule type="colorScale" priority="2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2:AD32">
    <cfRule type="colorScale" priority="2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3:AD33">
    <cfRule type="colorScale" priority="3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4:AD34">
    <cfRule type="colorScale" priority="3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5:AD35">
    <cfRule type="colorScale" priority="3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6:AD36">
    <cfRule type="colorScale" priority="3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7:AD37">
    <cfRule type="colorScale" priority="3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8:AD38">
    <cfRule type="colorScale" priority="3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39:AD39">
    <cfRule type="colorScale" priority="3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0:AD40">
    <cfRule type="colorScale" priority="3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1:AD41">
    <cfRule type="colorScale" priority="3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2:AD42">
    <cfRule type="colorScale" priority="3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3:AD43">
    <cfRule type="colorScale" priority="4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4:AD44">
    <cfRule type="colorScale" priority="4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5:AD45">
    <cfRule type="colorScale" priority="4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6:AD46">
    <cfRule type="colorScale" priority="4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7:AD47">
    <cfRule type="colorScale" priority="44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8:AD48">
    <cfRule type="colorScale" priority="45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49:AD49">
    <cfRule type="colorScale" priority="46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0:AD50">
    <cfRule type="colorScale" priority="47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1:AD51">
    <cfRule type="colorScale" priority="48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2:AD52">
    <cfRule type="colorScale" priority="49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3:AD53">
    <cfRule type="colorScale" priority="50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D54:AD54">
    <cfRule type="colorScale" priority="51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type="list" allowBlank="1" showErrorMessage="1" sqref="D5:AD54" xr:uid="{00000000-0002-0000-04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1000000}">
          <x14:formula1>
            <xm:f>Gruppi_Omogenei!$A$3:$A$22</xm:f>
          </x14:formula1>
          <x14:formula2>
            <xm:f>0</xm:f>
          </x14:formula2>
          <xm:sqref>C5:C54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M52"/>
  <sheetViews>
    <sheetView showGridLines="0" zoomScaleNormal="100" workbookViewId="0">
      <selection activeCell="B4" sqref="B4"/>
    </sheetView>
  </sheetViews>
  <sheetFormatPr defaultColWidth="8.7109375" defaultRowHeight="15" x14ac:dyDescent="0.25"/>
  <cols>
    <col min="1" max="1" width="18" customWidth="1"/>
    <col min="2" max="2" width="14" customWidth="1"/>
    <col min="3" max="5" width="20" customWidth="1"/>
    <col min="6" max="6" width="22" customWidth="1"/>
    <col min="7" max="7" width="20" customWidth="1"/>
    <col min="8" max="8" width="18" customWidth="1"/>
    <col min="9" max="9" width="16" customWidth="1"/>
    <col min="10" max="10" width="20" customWidth="1"/>
    <col min="11" max="11" width="18" customWidth="1"/>
    <col min="12" max="13" width="22" customWidth="1"/>
  </cols>
  <sheetData>
    <row r="1" spans="1:13" ht="16.149999999999999" customHeight="1" x14ac:dyDescent="0.25">
      <c r="A1" s="39" t="s">
        <v>300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x14ac:dyDescent="0.25">
      <c r="A2" s="23" t="s">
        <v>112</v>
      </c>
      <c r="B2" s="23" t="s">
        <v>83</v>
      </c>
      <c r="C2" s="23" t="s">
        <v>301</v>
      </c>
      <c r="D2" s="23" t="s">
        <v>302</v>
      </c>
      <c r="E2" s="23" t="s">
        <v>303</v>
      </c>
      <c r="F2" s="23" t="s">
        <v>304</v>
      </c>
      <c r="G2" s="23" t="s">
        <v>305</v>
      </c>
      <c r="H2" s="23" t="s">
        <v>306</v>
      </c>
      <c r="I2" s="23" t="s">
        <v>307</v>
      </c>
      <c r="J2" s="23" t="s">
        <v>308</v>
      </c>
      <c r="K2" s="23" t="s">
        <v>309</v>
      </c>
      <c r="L2" s="23" t="s">
        <v>310</v>
      </c>
      <c r="M2" s="23" t="s">
        <v>311</v>
      </c>
    </row>
    <row r="3" spans="1:13" x14ac:dyDescent="0.25">
      <c r="A3" s="18" t="str">
        <f>DataEntry_Standard!A5</f>
        <v>COMP-001</v>
      </c>
      <c r="B3" s="18">
        <f>DataEntry_Standard!C5</f>
        <v>0</v>
      </c>
      <c r="C3" s="24">
        <f>IF(DataEntry_Standard!D5&lt;&gt;"",DataEntry_Standard!D5,0)+IF(DataEntry_Standard!E5&lt;&gt;"",6-DataEntry_Standard!E5,0)+IF(DataEntry_Standard!F5&lt;&gt;"",6-DataEntry_Standard!F5,0)+IF(DataEntry_Standard!G5&lt;&gt;"",DataEntry_Standard!G5,0)+IF(DataEntry_Standard!H5&lt;&gt;"",6-DataEntry_Standard!H5,0)+IF(DataEntry_Standard!I5&lt;&gt;"",DataEntry_Standard!I5,0)+IF(DataEntry_Standard!J5&lt;&gt;"",DataEntry_Standard!J5,0)+IF(DataEntry_Standard!K5&lt;&gt;"",DataEntry_Standard!K5,0)+IF(DataEntry_Standard!L5&lt;&gt;"",DataEntry_Standard!L5,0)+IF(DataEntry_Standard!M5&lt;&gt;"",DataEntry_Standard!M5,0)</f>
        <v>0</v>
      </c>
      <c r="D3" s="24">
        <f>IF(DataEntry_Standard!N5&lt;&gt;"",DataEntry_Standard!N5,0)+IF(DataEntry_Standard!O5&lt;&gt;"",DataEntry_Standard!O5,0)+IF(DataEntry_Standard!P5&lt;&gt;"",DataEntry_Standard!P5,0)+IF(DataEntry_Standard!Q5&lt;&gt;"",6-DataEntry_Standard!Q5,0)+IF(DataEntry_Standard!R5&lt;&gt;"",6-DataEntry_Standard!R5,0)+IF(DataEntry_Standard!S5&lt;&gt;"",6-DataEntry_Standard!S5,0)+IF(DataEntry_Standard!T5&lt;&gt;"",DataEntry_Standard!T5,0)+IF(DataEntry_Standard!U5&lt;&gt;"",DataEntry_Standard!U5,0)+IF(DataEntry_Standard!V5&lt;&gt;"",DataEntry_Standard!V5,0)</f>
        <v>0</v>
      </c>
      <c r="E3" s="24">
        <f>IF(DataEntry_Standard!W5&lt;&gt;"",DataEntry_Standard!W5,0)+IF(DataEntry_Standard!X5&lt;&gt;"",6-DataEntry_Standard!X5,0)+IF(DataEntry_Standard!Y5&lt;&gt;"",6-DataEntry_Standard!Y5,0)+IF(DataEntry_Standard!Z5&lt;&gt;"",DataEntry_Standard!Z5,0)+IF(DataEntry_Standard!AA5&lt;&gt;"",6-DataEntry_Standard!AA5,0)+IF(DataEntry_Standard!AB5&lt;&gt;"",DataEntry_Standard!AB5,0)+IF(DataEntry_Standard!AC5&lt;&gt;"",DataEntry_Standard!AC5,0)+IF(DataEntry_Standard!AD5&lt;&gt;"",DataEntry_Standard!AD5,0)</f>
        <v>0</v>
      </c>
      <c r="F3" s="24">
        <f>IF(DataEntry_Standard!AE5&lt;&gt;"",DataEntry_Standard!AE5,0)+IF(DataEntry_Standard!AF5&lt;&gt;"",DataEntry_Standard!AF5,0)+IF(DataEntry_Standard!AG5&lt;&gt;"",6-DataEntry_Standard!AG5,0)+IF(DataEntry_Standard!AH5&lt;&gt;"",DataEntry_Standard!AH5,0)+IF(DataEntry_Standard!AI5&lt;&gt;"",6-DataEntry_Standard!AI5,0)</f>
        <v>0</v>
      </c>
      <c r="G3" s="24">
        <f>IF(DataEntry_Standard!AJ5&lt;&gt;"",DataEntry_Standard!AJ5,0)+IF(DataEntry_Standard!AK5&lt;&gt;"",6-DataEntry_Standard!AK5,0)+IF(DataEntry_Standard!AL5&lt;&gt;"",DataEntry_Standard!AL5,0)</f>
        <v>0</v>
      </c>
      <c r="H3" s="24">
        <f t="shared" ref="H3:H34" si="0">IF(A3&lt;&gt;"",C3+D3+E3+F3+G3,"")</f>
        <v>0</v>
      </c>
      <c r="I3" s="24">
        <f>IF(DataEntry_Standard!D5&gt;=4,1,0)+IF(DataEntry_Standard!G5&gt;=4,1,0)+IF(DataEntry_Standard!I5&gt;=4,1,0)+IF(DataEntry_Standard!J5&gt;=4,1,0)+IF(DataEntry_Standard!K5&gt;=4,1,0)+IF(DataEntry_Standard!L5&gt;=4,1,0)+IF(DataEntry_Standard!M5&gt;=4,1,0)+IF(DataEntry_Standard!N5&gt;=4,1,0)+IF(DataEntry_Standard!O5&gt;=4,1,0)+IF(DataEntry_Standard!P5&gt;=4,1,0)+IF(DataEntry_Standard!T5&gt;=4,1,0)+IF(DataEntry_Standard!U5&gt;=4,1,0)+IF(DataEntry_Standard!V5&gt;=4,1,0)+IF(DataEntry_Standard!W5&gt;=4,1,0)+IF(DataEntry_Standard!Z5&gt;=4,1,0)+IF(DataEntry_Standard!AB5&gt;=4,1,0)+IF(DataEntry_Standard!AC5&gt;=4,1,0)+IF(DataEntry_Standard!AD5&gt;=4,1,0)+IF(DataEntry_Standard!AE5&gt;=4,1,0)+IF(DataEntry_Standard!AF5&gt;=4,1,0)+IF(DataEntry_Standard!AH5&gt;=4,1,0)+IF(DataEntry_Standard!AJ5&gt;=4,1,0)+IF(DataEntry_Standard!AL5&gt;=4,1,0)+IF(DataEntry_Standard!AI5&lt;=2,1,0)+IF(DataEntry_Standard!E5&lt;=2,1,0)+IF(DataEntry_Standard!F5&lt;=2,1,0)+IF(DataEntry_Standard!AK5&lt;=2,1,0)+IF(DataEntry_Standard!H5&lt;=2,1,0)+IF(DataEntry_Standard!Q5&lt;=2,1,0)+IF(DataEntry_Standard!R5&lt;=2,1,0)+IF(DataEntry_Standard!S5&lt;=2,1,0)+IF(DataEntry_Standard!X5&lt;=2,1,0)+IF(DataEntry_Standard!Y5&lt;=2,1,0)+IF(DataEntry_Standard!AA5&lt;=2,1,0)+IF(DataEntry_Standard!AG5&lt;=2,1,0)</f>
        <v>12</v>
      </c>
      <c r="J3" s="24">
        <f>IF(DataEntry_SmartICT!D5&lt;&gt;"",DataEntry_SmartICT!D5,0)+IF(DataEntry_SmartICT!E5&lt;&gt;"",DataEntry_SmartICT!E5,0)+IF(DataEntry_SmartICT!F5&lt;&gt;"",6-DataEntry_SmartICT!F5,0)+IF(DataEntry_SmartICT!G5&lt;&gt;"",6-DataEntry_SmartICT!G5,0)+IF(DataEntry_SmartICT!H5&lt;&gt;"",DataEntry_SmartICT!H5,0)+IF(DataEntry_SmartICT!I5&lt;&gt;"",DataEntry_SmartICT!I5,0)+IF(DataEntry_SmartICT!J5&lt;&gt;"",6-DataEntry_SmartICT!J5,0)+IF(DataEntry_SmartICT!K5&lt;&gt;"",DataEntry_SmartICT!K5,0)+IF(DataEntry_SmartICT!L5&lt;&gt;"",6-DataEntry_SmartICT!L5,0)+IF(DataEntry_SmartICT!M5&lt;&gt;"",DataEntry_SmartICT!M5,0)+IF(DataEntry_SmartICT!N5&lt;&gt;"",6-DataEntry_SmartICT!N5,0)+IF(DataEntry_SmartICT!O5&lt;&gt;"",6-DataEntry_SmartICT!O5,0)+IF(DataEntry_SmartICT!P5&lt;&gt;"",6-DataEntry_SmartICT!P5,0)+IF(DataEntry_SmartICT!Q5&lt;&gt;"",6-DataEntry_SmartICT!Q5,0)+IF(DataEntry_SmartICT!R5&lt;&gt;"",6-DataEntry_SmartICT!R5,0)+IF(DataEntry_SmartICT!S5&lt;&gt;"",6-DataEntry_SmartICT!S5,0)+IF(DataEntry_SmartICT!T5&lt;&gt;"",6-DataEntry_SmartICT!T5,0)+IF(DataEntry_SmartICT!U5&lt;&gt;"",6-DataEntry_SmartICT!U5,0)+IF(DataEntry_SmartICT!V5&lt;&gt;"",DataEntry_SmartICT!V5,0)+IF(DataEntry_SmartICT!W5&lt;&gt;"",DataEntry_SmartICT!W5,0)+IF(DataEntry_SmartICT!X5&lt;&gt;"",DataEntry_SmartICT!X5,0)+IF(DataEntry_SmartICT!Y5&lt;&gt;"",6-DataEntry_SmartICT!Y5,0)+IF(DataEntry_SmartICT!Z5&lt;&gt;"",6-DataEntry_SmartICT!Z5,0)+IF(DataEntry_SmartICT!AA5&lt;&gt;"",DataEntry_SmartICT!AA5,0)+IF(DataEntry_SmartICT!AB5&lt;&gt;"",DataEntry_SmartICT!AB5,0)+IF(DataEntry_SmartICT!AC5&lt;&gt;"",6-DataEntry_SmartICT!AC5,0)+IF(DataEntry_SmartICT!AD5&lt;&gt;"",DataEntry_SmartICT!AD5,0)</f>
        <v>0</v>
      </c>
      <c r="K3" s="24">
        <f t="shared" ref="K3:K34" si="1">IF(H3&lt;&gt;"",IFERROR(H3+J3,H3),"")</f>
        <v>0</v>
      </c>
      <c r="L3" s="25" t="str">
        <f>IF(H3="","",IF(H3/35&lt;=Configurazione!C21,"Trascurabile",IF(H3/35&lt;=Configurazione!C22,"Moderato","Rilevante")))</f>
        <v>Trascurabile</v>
      </c>
      <c r="M3" s="25" t="str">
        <f>IF(J3=0,"N/A",IF(J3/27&lt;=Configurazione!C26,"Trascurabile",IF(J3/27&lt;=Configurazione!C27,"Moderato","Rilevante")))</f>
        <v>N/A</v>
      </c>
    </row>
    <row r="4" spans="1:13" x14ac:dyDescent="0.25">
      <c r="A4" s="18" t="str">
        <f>DataEntry_Standard!A6</f>
        <v>COMP-002</v>
      </c>
      <c r="B4" s="18">
        <f>DataEntry_Standard!C6</f>
        <v>0</v>
      </c>
      <c r="C4" s="24">
        <f>IF(DataEntry_Standard!D6&lt;&gt;"",DataEntry_Standard!D6,0)+IF(DataEntry_Standard!E6&lt;&gt;"",6-DataEntry_Standard!E6,0)+IF(DataEntry_Standard!F6&lt;&gt;"",6-DataEntry_Standard!F6,0)+IF(DataEntry_Standard!G6&lt;&gt;"",DataEntry_Standard!G6,0)+IF(DataEntry_Standard!H6&lt;&gt;"",6-DataEntry_Standard!H6,0)+IF(DataEntry_Standard!I6&lt;&gt;"",DataEntry_Standard!I6,0)+IF(DataEntry_Standard!J6&lt;&gt;"",DataEntry_Standard!J6,0)+IF(DataEntry_Standard!K6&lt;&gt;"",DataEntry_Standard!K6,0)+IF(DataEntry_Standard!L6&lt;&gt;"",DataEntry_Standard!L6,0)+IF(DataEntry_Standard!M6&lt;&gt;"",DataEntry_Standard!M6,0)</f>
        <v>0</v>
      </c>
      <c r="D4" s="24">
        <f>IF(DataEntry_Standard!N6&lt;&gt;"",DataEntry_Standard!N6,0)+IF(DataEntry_Standard!O6&lt;&gt;"",DataEntry_Standard!O6,0)+IF(DataEntry_Standard!P6&lt;&gt;"",DataEntry_Standard!P6,0)+IF(DataEntry_Standard!Q6&lt;&gt;"",6-DataEntry_Standard!Q6,0)+IF(DataEntry_Standard!R6&lt;&gt;"",6-DataEntry_Standard!R6,0)+IF(DataEntry_Standard!S6&lt;&gt;"",6-DataEntry_Standard!S6,0)+IF(DataEntry_Standard!T6&lt;&gt;"",DataEntry_Standard!T6,0)+IF(DataEntry_Standard!U6&lt;&gt;"",DataEntry_Standard!U6,0)+IF(DataEntry_Standard!V6&lt;&gt;"",DataEntry_Standard!V6,0)</f>
        <v>0</v>
      </c>
      <c r="E4" s="24">
        <f>IF(DataEntry_Standard!W6&lt;&gt;"",DataEntry_Standard!W6,0)+IF(DataEntry_Standard!X6&lt;&gt;"",6-DataEntry_Standard!X6,0)+IF(DataEntry_Standard!Y6&lt;&gt;"",6-DataEntry_Standard!Y6,0)+IF(DataEntry_Standard!Z6&lt;&gt;"",DataEntry_Standard!Z6,0)+IF(DataEntry_Standard!AA6&lt;&gt;"",6-DataEntry_Standard!AA6,0)+IF(DataEntry_Standard!AB6&lt;&gt;"",DataEntry_Standard!AB6,0)+IF(DataEntry_Standard!AC6&lt;&gt;"",DataEntry_Standard!AC6,0)+IF(DataEntry_Standard!AD6&lt;&gt;"",DataEntry_Standard!AD6,0)</f>
        <v>0</v>
      </c>
      <c r="F4" s="24">
        <f>IF(DataEntry_Standard!AE6&lt;&gt;"",DataEntry_Standard!AE6,0)+IF(DataEntry_Standard!AF6&lt;&gt;"",DataEntry_Standard!AF6,0)+IF(DataEntry_Standard!AG6&lt;&gt;"",6-DataEntry_Standard!AG6,0)+IF(DataEntry_Standard!AH6&lt;&gt;"",DataEntry_Standard!AH6,0)+IF(DataEntry_Standard!AI6&lt;&gt;"",6-DataEntry_Standard!AI6,0)</f>
        <v>0</v>
      </c>
      <c r="G4" s="24">
        <f>IF(DataEntry_Standard!AJ6&lt;&gt;"",DataEntry_Standard!AJ6,0)+IF(DataEntry_Standard!AK6&lt;&gt;"",6-DataEntry_Standard!AK6,0)+IF(DataEntry_Standard!AL6&lt;&gt;"",DataEntry_Standard!AL6,0)</f>
        <v>0</v>
      </c>
      <c r="H4" s="24">
        <f t="shared" si="0"/>
        <v>0</v>
      </c>
      <c r="I4" s="24">
        <f>IF(DataEntry_Standard!D6&gt;=4,1,0)+IF(DataEntry_Standard!G6&gt;=4,1,0)+IF(DataEntry_Standard!I6&gt;=4,1,0)+IF(DataEntry_Standard!J6&gt;=4,1,0)+IF(DataEntry_Standard!K6&gt;=4,1,0)+IF(DataEntry_Standard!L6&gt;=4,1,0)+IF(DataEntry_Standard!M6&gt;=4,1,0)+IF(DataEntry_Standard!N6&gt;=4,1,0)+IF(DataEntry_Standard!O6&gt;=4,1,0)+IF(DataEntry_Standard!P6&gt;=4,1,0)+IF(DataEntry_Standard!T6&gt;=4,1,0)+IF(DataEntry_Standard!U6&gt;=4,1,0)+IF(DataEntry_Standard!V6&gt;=4,1,0)+IF(DataEntry_Standard!W6&gt;=4,1,0)+IF(DataEntry_Standard!Z6&gt;=4,1,0)+IF(DataEntry_Standard!AB6&gt;=4,1,0)+IF(DataEntry_Standard!AC6&gt;=4,1,0)+IF(DataEntry_Standard!AD6&gt;=4,1,0)+IF(DataEntry_Standard!AE6&gt;=4,1,0)+IF(DataEntry_Standard!AF6&gt;=4,1,0)+IF(DataEntry_Standard!AH6&gt;=4,1,0)+IF(DataEntry_Standard!AJ6&gt;=4,1,0)+IF(DataEntry_Standard!AL6&gt;=4,1,0)+IF(DataEntry_Standard!AI6&lt;=2,1,0)+IF(DataEntry_Standard!E6&lt;=2,1,0)+IF(DataEntry_Standard!F6&lt;=2,1,0)+IF(DataEntry_Standard!AK6&lt;=2,1,0)+IF(DataEntry_Standard!H6&lt;=2,1,0)+IF(DataEntry_Standard!Q6&lt;=2,1,0)+IF(DataEntry_Standard!R6&lt;=2,1,0)+IF(DataEntry_Standard!S6&lt;=2,1,0)+IF(DataEntry_Standard!X6&lt;=2,1,0)+IF(DataEntry_Standard!Y6&lt;=2,1,0)+IF(DataEntry_Standard!AA6&lt;=2,1,0)+IF(DataEntry_Standard!AG6&lt;=2,1,0)</f>
        <v>12</v>
      </c>
      <c r="J4" s="24">
        <f>IF(DataEntry_SmartICT!D6&lt;&gt;"",DataEntry_SmartICT!D6,0)+IF(DataEntry_SmartICT!E6&lt;&gt;"",DataEntry_SmartICT!E6,0)+IF(DataEntry_SmartICT!F6&lt;&gt;"",6-DataEntry_SmartICT!F6,0)+IF(DataEntry_SmartICT!G6&lt;&gt;"",6-DataEntry_SmartICT!G6,0)+IF(DataEntry_SmartICT!H6&lt;&gt;"",DataEntry_SmartICT!H6,0)+IF(DataEntry_SmartICT!I6&lt;&gt;"",DataEntry_SmartICT!I6,0)+IF(DataEntry_SmartICT!J6&lt;&gt;"",6-DataEntry_SmartICT!J6,0)+IF(DataEntry_SmartICT!K6&lt;&gt;"",DataEntry_SmartICT!K6,0)+IF(DataEntry_SmartICT!L6&lt;&gt;"",6-DataEntry_SmartICT!L6,0)+IF(DataEntry_SmartICT!M6&lt;&gt;"",DataEntry_SmartICT!M6,0)+IF(DataEntry_SmartICT!N6&lt;&gt;"",6-DataEntry_SmartICT!N6,0)+IF(DataEntry_SmartICT!O6&lt;&gt;"",6-DataEntry_SmartICT!O6,0)+IF(DataEntry_SmartICT!P6&lt;&gt;"",6-DataEntry_SmartICT!P6,0)+IF(DataEntry_SmartICT!Q6&lt;&gt;"",6-DataEntry_SmartICT!Q6,0)+IF(DataEntry_SmartICT!R6&lt;&gt;"",6-DataEntry_SmartICT!R6,0)+IF(DataEntry_SmartICT!S6&lt;&gt;"",6-DataEntry_SmartICT!S6,0)+IF(DataEntry_SmartICT!T6&lt;&gt;"",6-DataEntry_SmartICT!T6,0)+IF(DataEntry_SmartICT!U6&lt;&gt;"",6-DataEntry_SmartICT!U6,0)+IF(DataEntry_SmartICT!V6&lt;&gt;"",DataEntry_SmartICT!V6,0)+IF(DataEntry_SmartICT!W6&lt;&gt;"",DataEntry_SmartICT!W6,0)+IF(DataEntry_SmartICT!X6&lt;&gt;"",DataEntry_SmartICT!X6,0)+IF(DataEntry_SmartICT!Y6&lt;&gt;"",6-DataEntry_SmartICT!Y6,0)+IF(DataEntry_SmartICT!Z6&lt;&gt;"",6-DataEntry_SmartICT!Z6,0)+IF(DataEntry_SmartICT!AA6&lt;&gt;"",DataEntry_SmartICT!AA6,0)+IF(DataEntry_SmartICT!AB6&lt;&gt;"",DataEntry_SmartICT!AB6,0)+IF(DataEntry_SmartICT!AC6&lt;&gt;"",6-DataEntry_SmartICT!AC6,0)+IF(DataEntry_SmartICT!AD6&lt;&gt;"",DataEntry_SmartICT!AD6,0)</f>
        <v>0</v>
      </c>
      <c r="K4" s="24">
        <f t="shared" si="1"/>
        <v>0</v>
      </c>
      <c r="L4" s="25" t="str">
        <f>IF(H4="","",IF(H4/35&lt;=Configurazione!C21,"Trascurabile",IF(H4/35&lt;=Configurazione!C22,"Moderato","Rilevante")))</f>
        <v>Trascurabile</v>
      </c>
      <c r="M4" s="25" t="str">
        <f>IF(J4=0,"N/A",IF(J4/27&lt;=Configurazione!C26,"Trascurabile",IF(J4/27&lt;=Configurazione!C27,"Moderato","Rilevante")))</f>
        <v>N/A</v>
      </c>
    </row>
    <row r="5" spans="1:13" x14ac:dyDescent="0.25">
      <c r="A5" s="18" t="str">
        <f>DataEntry_Standard!A7</f>
        <v>COMP-003</v>
      </c>
      <c r="B5" s="18">
        <f>DataEntry_Standard!C7</f>
        <v>0</v>
      </c>
      <c r="C5" s="24">
        <f>IF(DataEntry_Standard!D7&lt;&gt;"",DataEntry_Standard!D7,0)+IF(DataEntry_Standard!E7&lt;&gt;"",6-DataEntry_Standard!E7,0)+IF(DataEntry_Standard!F7&lt;&gt;"",6-DataEntry_Standard!F7,0)+IF(DataEntry_Standard!G7&lt;&gt;"",DataEntry_Standard!G7,0)+IF(DataEntry_Standard!H7&lt;&gt;"",6-DataEntry_Standard!H7,0)+IF(DataEntry_Standard!I7&lt;&gt;"",DataEntry_Standard!I7,0)+IF(DataEntry_Standard!J7&lt;&gt;"",DataEntry_Standard!J7,0)+IF(DataEntry_Standard!K7&lt;&gt;"",DataEntry_Standard!K7,0)+IF(DataEntry_Standard!L7&lt;&gt;"",DataEntry_Standard!L7,0)+IF(DataEntry_Standard!M7&lt;&gt;"",DataEntry_Standard!M7,0)</f>
        <v>0</v>
      </c>
      <c r="D5" s="24">
        <f>IF(DataEntry_Standard!N7&lt;&gt;"",DataEntry_Standard!N7,0)+IF(DataEntry_Standard!O7&lt;&gt;"",DataEntry_Standard!O7,0)+IF(DataEntry_Standard!P7&lt;&gt;"",DataEntry_Standard!P7,0)+IF(DataEntry_Standard!Q7&lt;&gt;"",6-DataEntry_Standard!Q7,0)+IF(DataEntry_Standard!R7&lt;&gt;"",6-DataEntry_Standard!R7,0)+IF(DataEntry_Standard!S7&lt;&gt;"",6-DataEntry_Standard!S7,0)+IF(DataEntry_Standard!T7&lt;&gt;"",DataEntry_Standard!T7,0)+IF(DataEntry_Standard!U7&lt;&gt;"",DataEntry_Standard!U7,0)+IF(DataEntry_Standard!V7&lt;&gt;"",DataEntry_Standard!V7,0)</f>
        <v>0</v>
      </c>
      <c r="E5" s="24">
        <f>IF(DataEntry_Standard!W7&lt;&gt;"",DataEntry_Standard!W7,0)+IF(DataEntry_Standard!X7&lt;&gt;"",6-DataEntry_Standard!X7,0)+IF(DataEntry_Standard!Y7&lt;&gt;"",6-DataEntry_Standard!Y7,0)+IF(DataEntry_Standard!Z7&lt;&gt;"",DataEntry_Standard!Z7,0)+IF(DataEntry_Standard!AA7&lt;&gt;"",6-DataEntry_Standard!AA7,0)+IF(DataEntry_Standard!AB7&lt;&gt;"",DataEntry_Standard!AB7,0)+IF(DataEntry_Standard!AC7&lt;&gt;"",DataEntry_Standard!AC7,0)+IF(DataEntry_Standard!AD7&lt;&gt;"",DataEntry_Standard!AD7,0)</f>
        <v>0</v>
      </c>
      <c r="F5" s="24">
        <f>IF(DataEntry_Standard!AE7&lt;&gt;"",DataEntry_Standard!AE7,0)+IF(DataEntry_Standard!AF7&lt;&gt;"",DataEntry_Standard!AF7,0)+IF(DataEntry_Standard!AG7&lt;&gt;"",6-DataEntry_Standard!AG7,0)+IF(DataEntry_Standard!AH7&lt;&gt;"",DataEntry_Standard!AH7,0)+IF(DataEntry_Standard!AI7&lt;&gt;"",6-DataEntry_Standard!AI7,0)</f>
        <v>0</v>
      </c>
      <c r="G5" s="24">
        <f>IF(DataEntry_Standard!AJ7&lt;&gt;"",DataEntry_Standard!AJ7,0)+IF(DataEntry_Standard!AK7&lt;&gt;"",6-DataEntry_Standard!AK7,0)+IF(DataEntry_Standard!AL7&lt;&gt;"",DataEntry_Standard!AL7,0)</f>
        <v>0</v>
      </c>
      <c r="H5" s="24">
        <f t="shared" si="0"/>
        <v>0</v>
      </c>
      <c r="I5" s="24">
        <f>IF(DataEntry_Standard!D7&gt;=4,1,0)+IF(DataEntry_Standard!G7&gt;=4,1,0)+IF(DataEntry_Standard!I7&gt;=4,1,0)+IF(DataEntry_Standard!J7&gt;=4,1,0)+IF(DataEntry_Standard!K7&gt;=4,1,0)+IF(DataEntry_Standard!L7&gt;=4,1,0)+IF(DataEntry_Standard!M7&gt;=4,1,0)+IF(DataEntry_Standard!N7&gt;=4,1,0)+IF(DataEntry_Standard!O7&gt;=4,1,0)+IF(DataEntry_Standard!P7&gt;=4,1,0)+IF(DataEntry_Standard!T7&gt;=4,1,0)+IF(DataEntry_Standard!U7&gt;=4,1,0)+IF(DataEntry_Standard!V7&gt;=4,1,0)+IF(DataEntry_Standard!W7&gt;=4,1,0)+IF(DataEntry_Standard!Z7&gt;=4,1,0)+IF(DataEntry_Standard!AB7&gt;=4,1,0)+IF(DataEntry_Standard!AC7&gt;=4,1,0)+IF(DataEntry_Standard!AD7&gt;=4,1,0)+IF(DataEntry_Standard!AE7&gt;=4,1,0)+IF(DataEntry_Standard!AF7&gt;=4,1,0)+IF(DataEntry_Standard!AH7&gt;=4,1,0)+IF(DataEntry_Standard!AJ7&gt;=4,1,0)+IF(DataEntry_Standard!AL7&gt;=4,1,0)+IF(DataEntry_Standard!AI7&lt;=2,1,0)+IF(DataEntry_Standard!E7&lt;=2,1,0)+IF(DataEntry_Standard!F7&lt;=2,1,0)+IF(DataEntry_Standard!AK7&lt;=2,1,0)+IF(DataEntry_Standard!H7&lt;=2,1,0)+IF(DataEntry_Standard!Q7&lt;=2,1,0)+IF(DataEntry_Standard!R7&lt;=2,1,0)+IF(DataEntry_Standard!S7&lt;=2,1,0)+IF(DataEntry_Standard!X7&lt;=2,1,0)+IF(DataEntry_Standard!Y7&lt;=2,1,0)+IF(DataEntry_Standard!AA7&lt;=2,1,0)+IF(DataEntry_Standard!AG7&lt;=2,1,0)</f>
        <v>12</v>
      </c>
      <c r="J5" s="24">
        <f>IF(DataEntry_SmartICT!D7&lt;&gt;"",DataEntry_SmartICT!D7,0)+IF(DataEntry_SmartICT!E7&lt;&gt;"",DataEntry_SmartICT!E7,0)+IF(DataEntry_SmartICT!F7&lt;&gt;"",6-DataEntry_SmartICT!F7,0)+IF(DataEntry_SmartICT!G7&lt;&gt;"",6-DataEntry_SmartICT!G7,0)+IF(DataEntry_SmartICT!H7&lt;&gt;"",DataEntry_SmartICT!H7,0)+IF(DataEntry_SmartICT!I7&lt;&gt;"",DataEntry_SmartICT!I7,0)+IF(DataEntry_SmartICT!J7&lt;&gt;"",6-DataEntry_SmartICT!J7,0)+IF(DataEntry_SmartICT!K7&lt;&gt;"",DataEntry_SmartICT!K7,0)+IF(DataEntry_SmartICT!L7&lt;&gt;"",6-DataEntry_SmartICT!L7,0)+IF(DataEntry_SmartICT!M7&lt;&gt;"",DataEntry_SmartICT!M7,0)+IF(DataEntry_SmartICT!N7&lt;&gt;"",6-DataEntry_SmartICT!N7,0)+IF(DataEntry_SmartICT!O7&lt;&gt;"",6-DataEntry_SmartICT!O7,0)+IF(DataEntry_SmartICT!P7&lt;&gt;"",6-DataEntry_SmartICT!P7,0)+IF(DataEntry_SmartICT!Q7&lt;&gt;"",6-DataEntry_SmartICT!Q7,0)+IF(DataEntry_SmartICT!R7&lt;&gt;"",6-DataEntry_SmartICT!R7,0)+IF(DataEntry_SmartICT!S7&lt;&gt;"",6-DataEntry_SmartICT!S7,0)+IF(DataEntry_SmartICT!T7&lt;&gt;"",6-DataEntry_SmartICT!T7,0)+IF(DataEntry_SmartICT!U7&lt;&gt;"",6-DataEntry_SmartICT!U7,0)+IF(DataEntry_SmartICT!V7&lt;&gt;"",DataEntry_SmartICT!V7,0)+IF(DataEntry_SmartICT!W7&lt;&gt;"",DataEntry_SmartICT!W7,0)+IF(DataEntry_SmartICT!X7&lt;&gt;"",DataEntry_SmartICT!X7,0)+IF(DataEntry_SmartICT!Y7&lt;&gt;"",6-DataEntry_SmartICT!Y7,0)+IF(DataEntry_SmartICT!Z7&lt;&gt;"",6-DataEntry_SmartICT!Z7,0)+IF(DataEntry_SmartICT!AA7&lt;&gt;"",DataEntry_SmartICT!AA7,0)+IF(DataEntry_SmartICT!AB7&lt;&gt;"",DataEntry_SmartICT!AB7,0)+IF(DataEntry_SmartICT!AC7&lt;&gt;"",6-DataEntry_SmartICT!AC7,0)+IF(DataEntry_SmartICT!AD7&lt;&gt;"",DataEntry_SmartICT!AD7,0)</f>
        <v>0</v>
      </c>
      <c r="K5" s="24">
        <f t="shared" si="1"/>
        <v>0</v>
      </c>
      <c r="L5" s="25" t="str">
        <f>IF(H5="","",IF(H5/35&lt;=Configurazione!C21,"Trascurabile",IF(H5/35&lt;=Configurazione!C22,"Moderato","Rilevante")))</f>
        <v>Trascurabile</v>
      </c>
      <c r="M5" s="25" t="str">
        <f>IF(J5=0,"N/A",IF(J5/27&lt;=Configurazione!C26,"Trascurabile",IF(J5/27&lt;=Configurazione!C27,"Moderato","Rilevante")))</f>
        <v>N/A</v>
      </c>
    </row>
    <row r="6" spans="1:13" x14ac:dyDescent="0.25">
      <c r="A6" s="18" t="str">
        <f>DataEntry_Standard!A8</f>
        <v>COMP-004</v>
      </c>
      <c r="B6" s="18">
        <f>DataEntry_Standard!C8</f>
        <v>0</v>
      </c>
      <c r="C6" s="24">
        <f>IF(DataEntry_Standard!D8&lt;&gt;"",DataEntry_Standard!D8,0)+IF(DataEntry_Standard!E8&lt;&gt;"",6-DataEntry_Standard!E8,0)+IF(DataEntry_Standard!F8&lt;&gt;"",6-DataEntry_Standard!F8,0)+IF(DataEntry_Standard!G8&lt;&gt;"",DataEntry_Standard!G8,0)+IF(DataEntry_Standard!H8&lt;&gt;"",6-DataEntry_Standard!H8,0)+IF(DataEntry_Standard!I8&lt;&gt;"",DataEntry_Standard!I8,0)+IF(DataEntry_Standard!J8&lt;&gt;"",DataEntry_Standard!J8,0)+IF(DataEntry_Standard!K8&lt;&gt;"",DataEntry_Standard!K8,0)+IF(DataEntry_Standard!L8&lt;&gt;"",DataEntry_Standard!L8,0)+IF(DataEntry_Standard!M8&lt;&gt;"",DataEntry_Standard!M8,0)</f>
        <v>0</v>
      </c>
      <c r="D6" s="24">
        <f>IF(DataEntry_Standard!N8&lt;&gt;"",DataEntry_Standard!N8,0)+IF(DataEntry_Standard!O8&lt;&gt;"",DataEntry_Standard!O8,0)+IF(DataEntry_Standard!P8&lt;&gt;"",DataEntry_Standard!P8,0)+IF(DataEntry_Standard!Q8&lt;&gt;"",6-DataEntry_Standard!Q8,0)+IF(DataEntry_Standard!R8&lt;&gt;"",6-DataEntry_Standard!R8,0)+IF(DataEntry_Standard!S8&lt;&gt;"",6-DataEntry_Standard!S8,0)+IF(DataEntry_Standard!T8&lt;&gt;"",DataEntry_Standard!T8,0)+IF(DataEntry_Standard!U8&lt;&gt;"",DataEntry_Standard!U8,0)+IF(DataEntry_Standard!V8&lt;&gt;"",DataEntry_Standard!V8,0)</f>
        <v>0</v>
      </c>
      <c r="E6" s="24">
        <f>IF(DataEntry_Standard!W8&lt;&gt;"",DataEntry_Standard!W8,0)+IF(DataEntry_Standard!X8&lt;&gt;"",6-DataEntry_Standard!X8,0)+IF(DataEntry_Standard!Y8&lt;&gt;"",6-DataEntry_Standard!Y8,0)+IF(DataEntry_Standard!Z8&lt;&gt;"",DataEntry_Standard!Z8,0)+IF(DataEntry_Standard!AA8&lt;&gt;"",6-DataEntry_Standard!AA8,0)+IF(DataEntry_Standard!AB8&lt;&gt;"",DataEntry_Standard!AB8,0)+IF(DataEntry_Standard!AC8&lt;&gt;"",DataEntry_Standard!AC8,0)+IF(DataEntry_Standard!AD8&lt;&gt;"",DataEntry_Standard!AD8,0)</f>
        <v>0</v>
      </c>
      <c r="F6" s="24">
        <f>IF(DataEntry_Standard!AE8&lt;&gt;"",DataEntry_Standard!AE8,0)+IF(DataEntry_Standard!AF8&lt;&gt;"",DataEntry_Standard!AF8,0)+IF(DataEntry_Standard!AG8&lt;&gt;"",6-DataEntry_Standard!AG8,0)+IF(DataEntry_Standard!AH8&lt;&gt;"",DataEntry_Standard!AH8,0)+IF(DataEntry_Standard!AI8&lt;&gt;"",6-DataEntry_Standard!AI8,0)</f>
        <v>0</v>
      </c>
      <c r="G6" s="24">
        <f>IF(DataEntry_Standard!AJ8&lt;&gt;"",DataEntry_Standard!AJ8,0)+IF(DataEntry_Standard!AK8&lt;&gt;"",6-DataEntry_Standard!AK8,0)+IF(DataEntry_Standard!AL8&lt;&gt;"",DataEntry_Standard!AL8,0)</f>
        <v>0</v>
      </c>
      <c r="H6" s="24">
        <f t="shared" si="0"/>
        <v>0</v>
      </c>
      <c r="I6" s="24">
        <f>IF(DataEntry_Standard!D8&gt;=4,1,0)+IF(DataEntry_Standard!G8&gt;=4,1,0)+IF(DataEntry_Standard!I8&gt;=4,1,0)+IF(DataEntry_Standard!J8&gt;=4,1,0)+IF(DataEntry_Standard!K8&gt;=4,1,0)+IF(DataEntry_Standard!L8&gt;=4,1,0)+IF(DataEntry_Standard!M8&gt;=4,1,0)+IF(DataEntry_Standard!N8&gt;=4,1,0)+IF(DataEntry_Standard!O8&gt;=4,1,0)+IF(DataEntry_Standard!P8&gt;=4,1,0)+IF(DataEntry_Standard!T8&gt;=4,1,0)+IF(DataEntry_Standard!U8&gt;=4,1,0)+IF(DataEntry_Standard!V8&gt;=4,1,0)+IF(DataEntry_Standard!W8&gt;=4,1,0)+IF(DataEntry_Standard!Z8&gt;=4,1,0)+IF(DataEntry_Standard!AB8&gt;=4,1,0)+IF(DataEntry_Standard!AC8&gt;=4,1,0)+IF(DataEntry_Standard!AD8&gt;=4,1,0)+IF(DataEntry_Standard!AE8&gt;=4,1,0)+IF(DataEntry_Standard!AF8&gt;=4,1,0)+IF(DataEntry_Standard!AH8&gt;=4,1,0)+IF(DataEntry_Standard!AJ8&gt;=4,1,0)+IF(DataEntry_Standard!AL8&gt;=4,1,0)+IF(DataEntry_Standard!AI8&lt;=2,1,0)+IF(DataEntry_Standard!E8&lt;=2,1,0)+IF(DataEntry_Standard!F8&lt;=2,1,0)+IF(DataEntry_Standard!AK8&lt;=2,1,0)+IF(DataEntry_Standard!H8&lt;=2,1,0)+IF(DataEntry_Standard!Q8&lt;=2,1,0)+IF(DataEntry_Standard!R8&lt;=2,1,0)+IF(DataEntry_Standard!S8&lt;=2,1,0)+IF(DataEntry_Standard!X8&lt;=2,1,0)+IF(DataEntry_Standard!Y8&lt;=2,1,0)+IF(DataEntry_Standard!AA8&lt;=2,1,0)+IF(DataEntry_Standard!AG8&lt;=2,1,0)</f>
        <v>12</v>
      </c>
      <c r="J6" s="24">
        <f>IF(DataEntry_SmartICT!D8&lt;&gt;"",DataEntry_SmartICT!D8,0)+IF(DataEntry_SmartICT!E8&lt;&gt;"",DataEntry_SmartICT!E8,0)+IF(DataEntry_SmartICT!F8&lt;&gt;"",6-DataEntry_SmartICT!F8,0)+IF(DataEntry_SmartICT!G8&lt;&gt;"",6-DataEntry_SmartICT!G8,0)+IF(DataEntry_SmartICT!H8&lt;&gt;"",DataEntry_SmartICT!H8,0)+IF(DataEntry_SmartICT!I8&lt;&gt;"",DataEntry_SmartICT!I8,0)+IF(DataEntry_SmartICT!J8&lt;&gt;"",6-DataEntry_SmartICT!J8,0)+IF(DataEntry_SmartICT!K8&lt;&gt;"",DataEntry_SmartICT!K8,0)+IF(DataEntry_SmartICT!L8&lt;&gt;"",6-DataEntry_SmartICT!L8,0)+IF(DataEntry_SmartICT!M8&lt;&gt;"",DataEntry_SmartICT!M8,0)+IF(DataEntry_SmartICT!N8&lt;&gt;"",6-DataEntry_SmartICT!N8,0)+IF(DataEntry_SmartICT!O8&lt;&gt;"",6-DataEntry_SmartICT!O8,0)+IF(DataEntry_SmartICT!P8&lt;&gt;"",6-DataEntry_SmartICT!P8,0)+IF(DataEntry_SmartICT!Q8&lt;&gt;"",6-DataEntry_SmartICT!Q8,0)+IF(DataEntry_SmartICT!R8&lt;&gt;"",6-DataEntry_SmartICT!R8,0)+IF(DataEntry_SmartICT!S8&lt;&gt;"",6-DataEntry_SmartICT!S8,0)+IF(DataEntry_SmartICT!T8&lt;&gt;"",6-DataEntry_SmartICT!T8,0)+IF(DataEntry_SmartICT!U8&lt;&gt;"",6-DataEntry_SmartICT!U8,0)+IF(DataEntry_SmartICT!V8&lt;&gt;"",DataEntry_SmartICT!V8,0)+IF(DataEntry_SmartICT!W8&lt;&gt;"",DataEntry_SmartICT!W8,0)+IF(DataEntry_SmartICT!X8&lt;&gt;"",DataEntry_SmartICT!X8,0)+IF(DataEntry_SmartICT!Y8&lt;&gt;"",6-DataEntry_SmartICT!Y8,0)+IF(DataEntry_SmartICT!Z8&lt;&gt;"",6-DataEntry_SmartICT!Z8,0)+IF(DataEntry_SmartICT!AA8&lt;&gt;"",DataEntry_SmartICT!AA8,0)+IF(DataEntry_SmartICT!AB8&lt;&gt;"",DataEntry_SmartICT!AB8,0)+IF(DataEntry_SmartICT!AC8&lt;&gt;"",6-DataEntry_SmartICT!AC8,0)+IF(DataEntry_SmartICT!AD8&lt;&gt;"",DataEntry_SmartICT!AD8,0)</f>
        <v>0</v>
      </c>
      <c r="K6" s="24">
        <f t="shared" si="1"/>
        <v>0</v>
      </c>
      <c r="L6" s="25" t="str">
        <f>IF(H6="","",IF(H6/35&lt;=Configurazione!C21,"Trascurabile",IF(H6/35&lt;=Configurazione!C22,"Moderato","Rilevante")))</f>
        <v>Trascurabile</v>
      </c>
      <c r="M6" s="25" t="str">
        <f>IF(J6=0,"N/A",IF(J6/27&lt;=Configurazione!C26,"Trascurabile",IF(J6/27&lt;=Configurazione!C27,"Moderato","Rilevante")))</f>
        <v>N/A</v>
      </c>
    </row>
    <row r="7" spans="1:13" x14ac:dyDescent="0.25">
      <c r="A7" s="18" t="str">
        <f>DataEntry_Standard!A9</f>
        <v>COMP-005</v>
      </c>
      <c r="B7" s="18">
        <f>DataEntry_Standard!C9</f>
        <v>0</v>
      </c>
      <c r="C7" s="24">
        <f>IF(DataEntry_Standard!D9&lt;&gt;"",DataEntry_Standard!D9,0)+IF(DataEntry_Standard!E9&lt;&gt;"",6-DataEntry_Standard!E9,0)+IF(DataEntry_Standard!F9&lt;&gt;"",6-DataEntry_Standard!F9,0)+IF(DataEntry_Standard!G9&lt;&gt;"",DataEntry_Standard!G9,0)+IF(DataEntry_Standard!H9&lt;&gt;"",6-DataEntry_Standard!H9,0)+IF(DataEntry_Standard!I9&lt;&gt;"",DataEntry_Standard!I9,0)+IF(DataEntry_Standard!J9&lt;&gt;"",DataEntry_Standard!J9,0)+IF(DataEntry_Standard!K9&lt;&gt;"",DataEntry_Standard!K9,0)+IF(DataEntry_Standard!L9&lt;&gt;"",DataEntry_Standard!L9,0)+IF(DataEntry_Standard!M9&lt;&gt;"",DataEntry_Standard!M9,0)</f>
        <v>0</v>
      </c>
      <c r="D7" s="24">
        <f>IF(DataEntry_Standard!N9&lt;&gt;"",DataEntry_Standard!N9,0)+IF(DataEntry_Standard!O9&lt;&gt;"",DataEntry_Standard!O9,0)+IF(DataEntry_Standard!P9&lt;&gt;"",DataEntry_Standard!P9,0)+IF(DataEntry_Standard!Q9&lt;&gt;"",6-DataEntry_Standard!Q9,0)+IF(DataEntry_Standard!R9&lt;&gt;"",6-DataEntry_Standard!R9,0)+IF(DataEntry_Standard!S9&lt;&gt;"",6-DataEntry_Standard!S9,0)+IF(DataEntry_Standard!T9&lt;&gt;"",DataEntry_Standard!T9,0)+IF(DataEntry_Standard!U9&lt;&gt;"",DataEntry_Standard!U9,0)+IF(DataEntry_Standard!V9&lt;&gt;"",DataEntry_Standard!V9,0)</f>
        <v>0</v>
      </c>
      <c r="E7" s="24">
        <f>IF(DataEntry_Standard!W9&lt;&gt;"",DataEntry_Standard!W9,0)+IF(DataEntry_Standard!X9&lt;&gt;"",6-DataEntry_Standard!X9,0)+IF(DataEntry_Standard!Y9&lt;&gt;"",6-DataEntry_Standard!Y9,0)+IF(DataEntry_Standard!Z9&lt;&gt;"",DataEntry_Standard!Z9,0)+IF(DataEntry_Standard!AA9&lt;&gt;"",6-DataEntry_Standard!AA9,0)+IF(DataEntry_Standard!AB9&lt;&gt;"",DataEntry_Standard!AB9,0)+IF(DataEntry_Standard!AC9&lt;&gt;"",DataEntry_Standard!AC9,0)+IF(DataEntry_Standard!AD9&lt;&gt;"",DataEntry_Standard!AD9,0)</f>
        <v>0</v>
      </c>
      <c r="F7" s="24">
        <f>IF(DataEntry_Standard!AE9&lt;&gt;"",DataEntry_Standard!AE9,0)+IF(DataEntry_Standard!AF9&lt;&gt;"",DataEntry_Standard!AF9,0)+IF(DataEntry_Standard!AG9&lt;&gt;"",6-DataEntry_Standard!AG9,0)+IF(DataEntry_Standard!AH9&lt;&gt;"",DataEntry_Standard!AH9,0)+IF(DataEntry_Standard!AI9&lt;&gt;"",6-DataEntry_Standard!AI9,0)</f>
        <v>0</v>
      </c>
      <c r="G7" s="24">
        <f>IF(DataEntry_Standard!AJ9&lt;&gt;"",DataEntry_Standard!AJ9,0)+IF(DataEntry_Standard!AK9&lt;&gt;"",6-DataEntry_Standard!AK9,0)+IF(DataEntry_Standard!AL9&lt;&gt;"",DataEntry_Standard!AL9,0)</f>
        <v>0</v>
      </c>
      <c r="H7" s="24">
        <f t="shared" si="0"/>
        <v>0</v>
      </c>
      <c r="I7" s="24">
        <f>IF(DataEntry_Standard!D9&gt;=4,1,0)+IF(DataEntry_Standard!G9&gt;=4,1,0)+IF(DataEntry_Standard!I9&gt;=4,1,0)+IF(DataEntry_Standard!J9&gt;=4,1,0)+IF(DataEntry_Standard!K9&gt;=4,1,0)+IF(DataEntry_Standard!L9&gt;=4,1,0)+IF(DataEntry_Standard!M9&gt;=4,1,0)+IF(DataEntry_Standard!N9&gt;=4,1,0)+IF(DataEntry_Standard!O9&gt;=4,1,0)+IF(DataEntry_Standard!P9&gt;=4,1,0)+IF(DataEntry_Standard!T9&gt;=4,1,0)+IF(DataEntry_Standard!U9&gt;=4,1,0)+IF(DataEntry_Standard!V9&gt;=4,1,0)+IF(DataEntry_Standard!W9&gt;=4,1,0)+IF(DataEntry_Standard!Z9&gt;=4,1,0)+IF(DataEntry_Standard!AB9&gt;=4,1,0)+IF(DataEntry_Standard!AC9&gt;=4,1,0)+IF(DataEntry_Standard!AD9&gt;=4,1,0)+IF(DataEntry_Standard!AE9&gt;=4,1,0)+IF(DataEntry_Standard!AF9&gt;=4,1,0)+IF(DataEntry_Standard!AH9&gt;=4,1,0)+IF(DataEntry_Standard!AJ9&gt;=4,1,0)+IF(DataEntry_Standard!AL9&gt;=4,1,0)+IF(DataEntry_Standard!AI9&lt;=2,1,0)+IF(DataEntry_Standard!E9&lt;=2,1,0)+IF(DataEntry_Standard!F9&lt;=2,1,0)+IF(DataEntry_Standard!AK9&lt;=2,1,0)+IF(DataEntry_Standard!H9&lt;=2,1,0)+IF(DataEntry_Standard!Q9&lt;=2,1,0)+IF(DataEntry_Standard!R9&lt;=2,1,0)+IF(DataEntry_Standard!S9&lt;=2,1,0)+IF(DataEntry_Standard!X9&lt;=2,1,0)+IF(DataEntry_Standard!Y9&lt;=2,1,0)+IF(DataEntry_Standard!AA9&lt;=2,1,0)+IF(DataEntry_Standard!AG9&lt;=2,1,0)</f>
        <v>12</v>
      </c>
      <c r="J7" s="24">
        <f>IF(DataEntry_SmartICT!D9&lt;&gt;"",DataEntry_SmartICT!D9,0)+IF(DataEntry_SmartICT!E9&lt;&gt;"",DataEntry_SmartICT!E9,0)+IF(DataEntry_SmartICT!F9&lt;&gt;"",6-DataEntry_SmartICT!F9,0)+IF(DataEntry_SmartICT!G9&lt;&gt;"",6-DataEntry_SmartICT!G9,0)+IF(DataEntry_SmartICT!H9&lt;&gt;"",DataEntry_SmartICT!H9,0)+IF(DataEntry_SmartICT!I9&lt;&gt;"",DataEntry_SmartICT!I9,0)+IF(DataEntry_SmartICT!J9&lt;&gt;"",6-DataEntry_SmartICT!J9,0)+IF(DataEntry_SmartICT!K9&lt;&gt;"",DataEntry_SmartICT!K9,0)+IF(DataEntry_SmartICT!L9&lt;&gt;"",6-DataEntry_SmartICT!L9,0)+IF(DataEntry_SmartICT!M9&lt;&gt;"",DataEntry_SmartICT!M9,0)+IF(DataEntry_SmartICT!N9&lt;&gt;"",6-DataEntry_SmartICT!N9,0)+IF(DataEntry_SmartICT!O9&lt;&gt;"",6-DataEntry_SmartICT!O9,0)+IF(DataEntry_SmartICT!P9&lt;&gt;"",6-DataEntry_SmartICT!P9,0)+IF(DataEntry_SmartICT!Q9&lt;&gt;"",6-DataEntry_SmartICT!Q9,0)+IF(DataEntry_SmartICT!R9&lt;&gt;"",6-DataEntry_SmartICT!R9,0)+IF(DataEntry_SmartICT!S9&lt;&gt;"",6-DataEntry_SmartICT!S9,0)+IF(DataEntry_SmartICT!T9&lt;&gt;"",6-DataEntry_SmartICT!T9,0)+IF(DataEntry_SmartICT!U9&lt;&gt;"",6-DataEntry_SmartICT!U9,0)+IF(DataEntry_SmartICT!V9&lt;&gt;"",DataEntry_SmartICT!V9,0)+IF(DataEntry_SmartICT!W9&lt;&gt;"",DataEntry_SmartICT!W9,0)+IF(DataEntry_SmartICT!X9&lt;&gt;"",DataEntry_SmartICT!X9,0)+IF(DataEntry_SmartICT!Y9&lt;&gt;"",6-DataEntry_SmartICT!Y9,0)+IF(DataEntry_SmartICT!Z9&lt;&gt;"",6-DataEntry_SmartICT!Z9,0)+IF(DataEntry_SmartICT!AA9&lt;&gt;"",DataEntry_SmartICT!AA9,0)+IF(DataEntry_SmartICT!AB9&lt;&gt;"",DataEntry_SmartICT!AB9,0)+IF(DataEntry_SmartICT!AC9&lt;&gt;"",6-DataEntry_SmartICT!AC9,0)+IF(DataEntry_SmartICT!AD9&lt;&gt;"",DataEntry_SmartICT!AD9,0)</f>
        <v>0</v>
      </c>
      <c r="K7" s="24">
        <f t="shared" si="1"/>
        <v>0</v>
      </c>
      <c r="L7" s="25" t="str">
        <f>IF(H7="","",IF(H7/35&lt;=Configurazione!C21,"Trascurabile",IF(H7/35&lt;=Configurazione!C22,"Moderato","Rilevante")))</f>
        <v>Trascurabile</v>
      </c>
      <c r="M7" s="25" t="str">
        <f>IF(J7=0,"N/A",IF(J7/27&lt;=Configurazione!C26,"Trascurabile",IF(J7/27&lt;=Configurazione!C27,"Moderato","Rilevante")))</f>
        <v>N/A</v>
      </c>
    </row>
    <row r="8" spans="1:13" x14ac:dyDescent="0.25">
      <c r="A8" s="18" t="str">
        <f>DataEntry_Standard!A10</f>
        <v>COMP-006</v>
      </c>
      <c r="B8" s="18">
        <f>DataEntry_Standard!C10</f>
        <v>0</v>
      </c>
      <c r="C8" s="24">
        <f>IF(DataEntry_Standard!D10&lt;&gt;"",DataEntry_Standard!D10,0)+IF(DataEntry_Standard!E10&lt;&gt;"",6-DataEntry_Standard!E10,0)+IF(DataEntry_Standard!F10&lt;&gt;"",6-DataEntry_Standard!F10,0)+IF(DataEntry_Standard!G10&lt;&gt;"",DataEntry_Standard!G10,0)+IF(DataEntry_Standard!H10&lt;&gt;"",6-DataEntry_Standard!H10,0)+IF(DataEntry_Standard!I10&lt;&gt;"",DataEntry_Standard!I10,0)+IF(DataEntry_Standard!J10&lt;&gt;"",DataEntry_Standard!J10,0)+IF(DataEntry_Standard!K10&lt;&gt;"",DataEntry_Standard!K10,0)+IF(DataEntry_Standard!L10&lt;&gt;"",DataEntry_Standard!L10,0)+IF(DataEntry_Standard!M10&lt;&gt;"",DataEntry_Standard!M10,0)</f>
        <v>0</v>
      </c>
      <c r="D8" s="24">
        <f>IF(DataEntry_Standard!N10&lt;&gt;"",DataEntry_Standard!N10,0)+IF(DataEntry_Standard!O10&lt;&gt;"",DataEntry_Standard!O10,0)+IF(DataEntry_Standard!P10&lt;&gt;"",DataEntry_Standard!P10,0)+IF(DataEntry_Standard!Q10&lt;&gt;"",6-DataEntry_Standard!Q10,0)+IF(DataEntry_Standard!R10&lt;&gt;"",6-DataEntry_Standard!R10,0)+IF(DataEntry_Standard!S10&lt;&gt;"",6-DataEntry_Standard!S10,0)+IF(DataEntry_Standard!T10&lt;&gt;"",DataEntry_Standard!T10,0)+IF(DataEntry_Standard!U10&lt;&gt;"",DataEntry_Standard!U10,0)+IF(DataEntry_Standard!V10&lt;&gt;"",DataEntry_Standard!V10,0)</f>
        <v>0</v>
      </c>
      <c r="E8" s="24">
        <f>IF(DataEntry_Standard!W10&lt;&gt;"",DataEntry_Standard!W10,0)+IF(DataEntry_Standard!X10&lt;&gt;"",6-DataEntry_Standard!X10,0)+IF(DataEntry_Standard!Y10&lt;&gt;"",6-DataEntry_Standard!Y10,0)+IF(DataEntry_Standard!Z10&lt;&gt;"",DataEntry_Standard!Z10,0)+IF(DataEntry_Standard!AA10&lt;&gt;"",6-DataEntry_Standard!AA10,0)+IF(DataEntry_Standard!AB10&lt;&gt;"",DataEntry_Standard!AB10,0)+IF(DataEntry_Standard!AC10&lt;&gt;"",DataEntry_Standard!AC10,0)+IF(DataEntry_Standard!AD10&lt;&gt;"",DataEntry_Standard!AD10,0)</f>
        <v>0</v>
      </c>
      <c r="F8" s="24">
        <f>IF(DataEntry_Standard!AE10&lt;&gt;"",DataEntry_Standard!AE10,0)+IF(DataEntry_Standard!AF10&lt;&gt;"",DataEntry_Standard!AF10,0)+IF(DataEntry_Standard!AG10&lt;&gt;"",6-DataEntry_Standard!AG10,0)+IF(DataEntry_Standard!AH10&lt;&gt;"",DataEntry_Standard!AH10,0)+IF(DataEntry_Standard!AI10&lt;&gt;"",6-DataEntry_Standard!AI10,0)</f>
        <v>0</v>
      </c>
      <c r="G8" s="24">
        <f>IF(DataEntry_Standard!AJ10&lt;&gt;"",DataEntry_Standard!AJ10,0)+IF(DataEntry_Standard!AK10&lt;&gt;"",6-DataEntry_Standard!AK10,0)+IF(DataEntry_Standard!AL10&lt;&gt;"",DataEntry_Standard!AL10,0)</f>
        <v>0</v>
      </c>
      <c r="H8" s="24">
        <f t="shared" si="0"/>
        <v>0</v>
      </c>
      <c r="I8" s="24">
        <f>IF(DataEntry_Standard!D10&gt;=4,1,0)+IF(DataEntry_Standard!G10&gt;=4,1,0)+IF(DataEntry_Standard!I10&gt;=4,1,0)+IF(DataEntry_Standard!J10&gt;=4,1,0)+IF(DataEntry_Standard!K10&gt;=4,1,0)+IF(DataEntry_Standard!L10&gt;=4,1,0)+IF(DataEntry_Standard!M10&gt;=4,1,0)+IF(DataEntry_Standard!N10&gt;=4,1,0)+IF(DataEntry_Standard!O10&gt;=4,1,0)+IF(DataEntry_Standard!P10&gt;=4,1,0)+IF(DataEntry_Standard!T10&gt;=4,1,0)+IF(DataEntry_Standard!U10&gt;=4,1,0)+IF(DataEntry_Standard!V10&gt;=4,1,0)+IF(DataEntry_Standard!W10&gt;=4,1,0)+IF(DataEntry_Standard!Z10&gt;=4,1,0)+IF(DataEntry_Standard!AB10&gt;=4,1,0)+IF(DataEntry_Standard!AC10&gt;=4,1,0)+IF(DataEntry_Standard!AD10&gt;=4,1,0)+IF(DataEntry_Standard!AE10&gt;=4,1,0)+IF(DataEntry_Standard!AF10&gt;=4,1,0)+IF(DataEntry_Standard!AH10&gt;=4,1,0)+IF(DataEntry_Standard!AJ10&gt;=4,1,0)+IF(DataEntry_Standard!AL10&gt;=4,1,0)+IF(DataEntry_Standard!AI10&lt;=2,1,0)+IF(DataEntry_Standard!E10&lt;=2,1,0)+IF(DataEntry_Standard!F10&lt;=2,1,0)+IF(DataEntry_Standard!AK10&lt;=2,1,0)+IF(DataEntry_Standard!H10&lt;=2,1,0)+IF(DataEntry_Standard!Q10&lt;=2,1,0)+IF(DataEntry_Standard!R10&lt;=2,1,0)+IF(DataEntry_Standard!S10&lt;=2,1,0)+IF(DataEntry_Standard!X10&lt;=2,1,0)+IF(DataEntry_Standard!Y10&lt;=2,1,0)+IF(DataEntry_Standard!AA10&lt;=2,1,0)+IF(DataEntry_Standard!AG10&lt;=2,1,0)</f>
        <v>12</v>
      </c>
      <c r="J8" s="24">
        <f>IF(DataEntry_SmartICT!D10&lt;&gt;"",DataEntry_SmartICT!D10,0)+IF(DataEntry_SmartICT!E10&lt;&gt;"",DataEntry_SmartICT!E10,0)+IF(DataEntry_SmartICT!F10&lt;&gt;"",6-DataEntry_SmartICT!F10,0)+IF(DataEntry_SmartICT!G10&lt;&gt;"",6-DataEntry_SmartICT!G10,0)+IF(DataEntry_SmartICT!H10&lt;&gt;"",DataEntry_SmartICT!H10,0)+IF(DataEntry_SmartICT!I10&lt;&gt;"",DataEntry_SmartICT!I10,0)+IF(DataEntry_SmartICT!J10&lt;&gt;"",6-DataEntry_SmartICT!J10,0)+IF(DataEntry_SmartICT!K10&lt;&gt;"",DataEntry_SmartICT!K10,0)+IF(DataEntry_SmartICT!L10&lt;&gt;"",6-DataEntry_SmartICT!L10,0)+IF(DataEntry_SmartICT!M10&lt;&gt;"",DataEntry_SmartICT!M10,0)+IF(DataEntry_SmartICT!N10&lt;&gt;"",6-DataEntry_SmartICT!N10,0)+IF(DataEntry_SmartICT!O10&lt;&gt;"",6-DataEntry_SmartICT!O10,0)+IF(DataEntry_SmartICT!P10&lt;&gt;"",6-DataEntry_SmartICT!P10,0)+IF(DataEntry_SmartICT!Q10&lt;&gt;"",6-DataEntry_SmartICT!Q10,0)+IF(DataEntry_SmartICT!R10&lt;&gt;"",6-DataEntry_SmartICT!R10,0)+IF(DataEntry_SmartICT!S10&lt;&gt;"",6-DataEntry_SmartICT!S10,0)+IF(DataEntry_SmartICT!T10&lt;&gt;"",6-DataEntry_SmartICT!T10,0)+IF(DataEntry_SmartICT!U10&lt;&gt;"",6-DataEntry_SmartICT!U10,0)+IF(DataEntry_SmartICT!V10&lt;&gt;"",DataEntry_SmartICT!V10,0)+IF(DataEntry_SmartICT!W10&lt;&gt;"",DataEntry_SmartICT!W10,0)+IF(DataEntry_SmartICT!X10&lt;&gt;"",DataEntry_SmartICT!X10,0)+IF(DataEntry_SmartICT!Y10&lt;&gt;"",6-DataEntry_SmartICT!Y10,0)+IF(DataEntry_SmartICT!Z10&lt;&gt;"",6-DataEntry_SmartICT!Z10,0)+IF(DataEntry_SmartICT!AA10&lt;&gt;"",DataEntry_SmartICT!AA10,0)+IF(DataEntry_SmartICT!AB10&lt;&gt;"",DataEntry_SmartICT!AB10,0)+IF(DataEntry_SmartICT!AC10&lt;&gt;"",6-DataEntry_SmartICT!AC10,0)+IF(DataEntry_SmartICT!AD10&lt;&gt;"",DataEntry_SmartICT!AD10,0)</f>
        <v>0</v>
      </c>
      <c r="K8" s="24">
        <f t="shared" si="1"/>
        <v>0</v>
      </c>
      <c r="L8" s="25" t="str">
        <f>IF(H8="","",IF(H8/35&lt;=Configurazione!C21,"Trascurabile",IF(H8/35&lt;=Configurazione!C22,"Moderato","Rilevante")))</f>
        <v>Trascurabile</v>
      </c>
      <c r="M8" s="25" t="str">
        <f>IF(J8=0,"N/A",IF(J8/27&lt;=Configurazione!C26,"Trascurabile",IF(J8/27&lt;=Configurazione!C27,"Moderato","Rilevante")))</f>
        <v>N/A</v>
      </c>
    </row>
    <row r="9" spans="1:13" x14ac:dyDescent="0.25">
      <c r="A9" s="18" t="str">
        <f>DataEntry_Standard!A11</f>
        <v>COMP-007</v>
      </c>
      <c r="B9" s="18">
        <f>DataEntry_Standard!C11</f>
        <v>0</v>
      </c>
      <c r="C9" s="24">
        <f>IF(DataEntry_Standard!D11&lt;&gt;"",DataEntry_Standard!D11,0)+IF(DataEntry_Standard!E11&lt;&gt;"",6-DataEntry_Standard!E11,0)+IF(DataEntry_Standard!F11&lt;&gt;"",6-DataEntry_Standard!F11,0)+IF(DataEntry_Standard!G11&lt;&gt;"",DataEntry_Standard!G11,0)+IF(DataEntry_Standard!H11&lt;&gt;"",6-DataEntry_Standard!H11,0)+IF(DataEntry_Standard!I11&lt;&gt;"",DataEntry_Standard!I11,0)+IF(DataEntry_Standard!J11&lt;&gt;"",DataEntry_Standard!J11,0)+IF(DataEntry_Standard!K11&lt;&gt;"",DataEntry_Standard!K11,0)+IF(DataEntry_Standard!L11&lt;&gt;"",DataEntry_Standard!L11,0)+IF(DataEntry_Standard!M11&lt;&gt;"",DataEntry_Standard!M11,0)</f>
        <v>0</v>
      </c>
      <c r="D9" s="24">
        <f>IF(DataEntry_Standard!N11&lt;&gt;"",DataEntry_Standard!N11,0)+IF(DataEntry_Standard!O11&lt;&gt;"",DataEntry_Standard!O11,0)+IF(DataEntry_Standard!P11&lt;&gt;"",DataEntry_Standard!P11,0)+IF(DataEntry_Standard!Q11&lt;&gt;"",6-DataEntry_Standard!Q11,0)+IF(DataEntry_Standard!R11&lt;&gt;"",6-DataEntry_Standard!R11,0)+IF(DataEntry_Standard!S11&lt;&gt;"",6-DataEntry_Standard!S11,0)+IF(DataEntry_Standard!T11&lt;&gt;"",DataEntry_Standard!T11,0)+IF(DataEntry_Standard!U11&lt;&gt;"",DataEntry_Standard!U11,0)+IF(DataEntry_Standard!V11&lt;&gt;"",DataEntry_Standard!V11,0)</f>
        <v>0</v>
      </c>
      <c r="E9" s="24">
        <f>IF(DataEntry_Standard!W11&lt;&gt;"",DataEntry_Standard!W11,0)+IF(DataEntry_Standard!X11&lt;&gt;"",6-DataEntry_Standard!X11,0)+IF(DataEntry_Standard!Y11&lt;&gt;"",6-DataEntry_Standard!Y11,0)+IF(DataEntry_Standard!Z11&lt;&gt;"",DataEntry_Standard!Z11,0)+IF(DataEntry_Standard!AA11&lt;&gt;"",6-DataEntry_Standard!AA11,0)+IF(DataEntry_Standard!AB11&lt;&gt;"",DataEntry_Standard!AB11,0)+IF(DataEntry_Standard!AC11&lt;&gt;"",DataEntry_Standard!AC11,0)+IF(DataEntry_Standard!AD11&lt;&gt;"",DataEntry_Standard!AD11,0)</f>
        <v>0</v>
      </c>
      <c r="F9" s="24">
        <f>IF(DataEntry_Standard!AE11&lt;&gt;"",DataEntry_Standard!AE11,0)+IF(DataEntry_Standard!AF11&lt;&gt;"",DataEntry_Standard!AF11,0)+IF(DataEntry_Standard!AG11&lt;&gt;"",6-DataEntry_Standard!AG11,0)+IF(DataEntry_Standard!AH11&lt;&gt;"",DataEntry_Standard!AH11,0)+IF(DataEntry_Standard!AI11&lt;&gt;"",6-DataEntry_Standard!AI11,0)</f>
        <v>0</v>
      </c>
      <c r="G9" s="24">
        <f>IF(DataEntry_Standard!AJ11&lt;&gt;"",DataEntry_Standard!AJ11,0)+IF(DataEntry_Standard!AK11&lt;&gt;"",6-DataEntry_Standard!AK11,0)+IF(DataEntry_Standard!AL11&lt;&gt;"",DataEntry_Standard!AL11,0)</f>
        <v>0</v>
      </c>
      <c r="H9" s="24">
        <f t="shared" si="0"/>
        <v>0</v>
      </c>
      <c r="I9" s="24">
        <f>IF(DataEntry_Standard!D11&gt;=4,1,0)+IF(DataEntry_Standard!G11&gt;=4,1,0)+IF(DataEntry_Standard!I11&gt;=4,1,0)+IF(DataEntry_Standard!J11&gt;=4,1,0)+IF(DataEntry_Standard!K11&gt;=4,1,0)+IF(DataEntry_Standard!L11&gt;=4,1,0)+IF(DataEntry_Standard!M11&gt;=4,1,0)+IF(DataEntry_Standard!N11&gt;=4,1,0)+IF(DataEntry_Standard!O11&gt;=4,1,0)+IF(DataEntry_Standard!P11&gt;=4,1,0)+IF(DataEntry_Standard!T11&gt;=4,1,0)+IF(DataEntry_Standard!U11&gt;=4,1,0)+IF(DataEntry_Standard!V11&gt;=4,1,0)+IF(DataEntry_Standard!W11&gt;=4,1,0)+IF(DataEntry_Standard!Z11&gt;=4,1,0)+IF(DataEntry_Standard!AB11&gt;=4,1,0)+IF(DataEntry_Standard!AC11&gt;=4,1,0)+IF(DataEntry_Standard!AD11&gt;=4,1,0)+IF(DataEntry_Standard!AE11&gt;=4,1,0)+IF(DataEntry_Standard!AF11&gt;=4,1,0)+IF(DataEntry_Standard!AH11&gt;=4,1,0)+IF(DataEntry_Standard!AJ11&gt;=4,1,0)+IF(DataEntry_Standard!AL11&gt;=4,1,0)+IF(DataEntry_Standard!AI11&lt;=2,1,0)+IF(DataEntry_Standard!E11&lt;=2,1,0)+IF(DataEntry_Standard!F11&lt;=2,1,0)+IF(DataEntry_Standard!AK11&lt;=2,1,0)+IF(DataEntry_Standard!H11&lt;=2,1,0)+IF(DataEntry_Standard!Q11&lt;=2,1,0)+IF(DataEntry_Standard!R11&lt;=2,1,0)+IF(DataEntry_Standard!S11&lt;=2,1,0)+IF(DataEntry_Standard!X11&lt;=2,1,0)+IF(DataEntry_Standard!Y11&lt;=2,1,0)+IF(DataEntry_Standard!AA11&lt;=2,1,0)+IF(DataEntry_Standard!AG11&lt;=2,1,0)</f>
        <v>12</v>
      </c>
      <c r="J9" s="24">
        <f>IF(DataEntry_SmartICT!D11&lt;&gt;"",DataEntry_SmartICT!D11,0)+IF(DataEntry_SmartICT!E11&lt;&gt;"",DataEntry_SmartICT!E11,0)+IF(DataEntry_SmartICT!F11&lt;&gt;"",6-DataEntry_SmartICT!F11,0)+IF(DataEntry_SmartICT!G11&lt;&gt;"",6-DataEntry_SmartICT!G11,0)+IF(DataEntry_SmartICT!H11&lt;&gt;"",DataEntry_SmartICT!H11,0)+IF(DataEntry_SmartICT!I11&lt;&gt;"",DataEntry_SmartICT!I11,0)+IF(DataEntry_SmartICT!J11&lt;&gt;"",6-DataEntry_SmartICT!J11,0)+IF(DataEntry_SmartICT!K11&lt;&gt;"",DataEntry_SmartICT!K11,0)+IF(DataEntry_SmartICT!L11&lt;&gt;"",6-DataEntry_SmartICT!L11,0)+IF(DataEntry_SmartICT!M11&lt;&gt;"",DataEntry_SmartICT!M11,0)+IF(DataEntry_SmartICT!N11&lt;&gt;"",6-DataEntry_SmartICT!N11,0)+IF(DataEntry_SmartICT!O11&lt;&gt;"",6-DataEntry_SmartICT!O11,0)+IF(DataEntry_SmartICT!P11&lt;&gt;"",6-DataEntry_SmartICT!P11,0)+IF(DataEntry_SmartICT!Q11&lt;&gt;"",6-DataEntry_SmartICT!Q11,0)+IF(DataEntry_SmartICT!R11&lt;&gt;"",6-DataEntry_SmartICT!R11,0)+IF(DataEntry_SmartICT!S11&lt;&gt;"",6-DataEntry_SmartICT!S11,0)+IF(DataEntry_SmartICT!T11&lt;&gt;"",6-DataEntry_SmartICT!T11,0)+IF(DataEntry_SmartICT!U11&lt;&gt;"",6-DataEntry_SmartICT!U11,0)+IF(DataEntry_SmartICT!V11&lt;&gt;"",DataEntry_SmartICT!V11,0)+IF(DataEntry_SmartICT!W11&lt;&gt;"",DataEntry_SmartICT!W11,0)+IF(DataEntry_SmartICT!X11&lt;&gt;"",DataEntry_SmartICT!X11,0)+IF(DataEntry_SmartICT!Y11&lt;&gt;"",6-DataEntry_SmartICT!Y11,0)+IF(DataEntry_SmartICT!Z11&lt;&gt;"",6-DataEntry_SmartICT!Z11,0)+IF(DataEntry_SmartICT!AA11&lt;&gt;"",DataEntry_SmartICT!AA11,0)+IF(DataEntry_SmartICT!AB11&lt;&gt;"",DataEntry_SmartICT!AB11,0)+IF(DataEntry_SmartICT!AC11&lt;&gt;"",6-DataEntry_SmartICT!AC11,0)+IF(DataEntry_SmartICT!AD11&lt;&gt;"",DataEntry_SmartICT!AD11,0)</f>
        <v>0</v>
      </c>
      <c r="K9" s="24">
        <f t="shared" si="1"/>
        <v>0</v>
      </c>
      <c r="L9" s="25" t="str">
        <f>IF(H9="","",IF(H9/35&lt;=Configurazione!C21,"Trascurabile",IF(H9/35&lt;=Configurazione!C22,"Moderato","Rilevante")))</f>
        <v>Trascurabile</v>
      </c>
      <c r="M9" s="25" t="str">
        <f>IF(J9=0,"N/A",IF(J9/27&lt;=Configurazione!C26,"Trascurabile",IF(J9/27&lt;=Configurazione!C27,"Moderato","Rilevante")))</f>
        <v>N/A</v>
      </c>
    </row>
    <row r="10" spans="1:13" x14ac:dyDescent="0.25">
      <c r="A10" s="18" t="str">
        <f>DataEntry_Standard!A12</f>
        <v>COMP-008</v>
      </c>
      <c r="B10" s="18">
        <f>DataEntry_Standard!C12</f>
        <v>0</v>
      </c>
      <c r="C10" s="24">
        <f>IF(DataEntry_Standard!D12&lt;&gt;"",DataEntry_Standard!D12,0)+IF(DataEntry_Standard!E12&lt;&gt;"",6-DataEntry_Standard!E12,0)+IF(DataEntry_Standard!F12&lt;&gt;"",6-DataEntry_Standard!F12,0)+IF(DataEntry_Standard!G12&lt;&gt;"",DataEntry_Standard!G12,0)+IF(DataEntry_Standard!H12&lt;&gt;"",6-DataEntry_Standard!H12,0)+IF(DataEntry_Standard!I12&lt;&gt;"",DataEntry_Standard!I12,0)+IF(DataEntry_Standard!J12&lt;&gt;"",DataEntry_Standard!J12,0)+IF(DataEntry_Standard!K12&lt;&gt;"",DataEntry_Standard!K12,0)+IF(DataEntry_Standard!L12&lt;&gt;"",DataEntry_Standard!L12,0)+IF(DataEntry_Standard!M12&lt;&gt;"",DataEntry_Standard!M12,0)</f>
        <v>0</v>
      </c>
      <c r="D10" s="24">
        <f>IF(DataEntry_Standard!N12&lt;&gt;"",DataEntry_Standard!N12,0)+IF(DataEntry_Standard!O12&lt;&gt;"",DataEntry_Standard!O12,0)+IF(DataEntry_Standard!P12&lt;&gt;"",DataEntry_Standard!P12,0)+IF(DataEntry_Standard!Q12&lt;&gt;"",6-DataEntry_Standard!Q12,0)+IF(DataEntry_Standard!R12&lt;&gt;"",6-DataEntry_Standard!R12,0)+IF(DataEntry_Standard!S12&lt;&gt;"",6-DataEntry_Standard!S12,0)+IF(DataEntry_Standard!T12&lt;&gt;"",DataEntry_Standard!T12,0)+IF(DataEntry_Standard!U12&lt;&gt;"",DataEntry_Standard!U12,0)+IF(DataEntry_Standard!V12&lt;&gt;"",DataEntry_Standard!V12,0)</f>
        <v>0</v>
      </c>
      <c r="E10" s="24">
        <f>IF(DataEntry_Standard!W12&lt;&gt;"",DataEntry_Standard!W12,0)+IF(DataEntry_Standard!X12&lt;&gt;"",6-DataEntry_Standard!X12,0)+IF(DataEntry_Standard!Y12&lt;&gt;"",6-DataEntry_Standard!Y12,0)+IF(DataEntry_Standard!Z12&lt;&gt;"",DataEntry_Standard!Z12,0)+IF(DataEntry_Standard!AA12&lt;&gt;"",6-DataEntry_Standard!AA12,0)+IF(DataEntry_Standard!AB12&lt;&gt;"",DataEntry_Standard!AB12,0)+IF(DataEntry_Standard!AC12&lt;&gt;"",DataEntry_Standard!AC12,0)+IF(DataEntry_Standard!AD12&lt;&gt;"",DataEntry_Standard!AD12,0)</f>
        <v>0</v>
      </c>
      <c r="F10" s="24">
        <f>IF(DataEntry_Standard!AE12&lt;&gt;"",DataEntry_Standard!AE12,0)+IF(DataEntry_Standard!AF12&lt;&gt;"",DataEntry_Standard!AF12,0)+IF(DataEntry_Standard!AG12&lt;&gt;"",6-DataEntry_Standard!AG12,0)+IF(DataEntry_Standard!AH12&lt;&gt;"",DataEntry_Standard!AH12,0)+IF(DataEntry_Standard!AI12&lt;&gt;"",6-DataEntry_Standard!AI12,0)</f>
        <v>0</v>
      </c>
      <c r="G10" s="24">
        <f>IF(DataEntry_Standard!AJ12&lt;&gt;"",DataEntry_Standard!AJ12,0)+IF(DataEntry_Standard!AK12&lt;&gt;"",6-DataEntry_Standard!AK12,0)+IF(DataEntry_Standard!AL12&lt;&gt;"",DataEntry_Standard!AL12,0)</f>
        <v>0</v>
      </c>
      <c r="H10" s="24">
        <f t="shared" si="0"/>
        <v>0</v>
      </c>
      <c r="I10" s="24">
        <f>IF(DataEntry_Standard!D12&gt;=4,1,0)+IF(DataEntry_Standard!G12&gt;=4,1,0)+IF(DataEntry_Standard!I12&gt;=4,1,0)+IF(DataEntry_Standard!J12&gt;=4,1,0)+IF(DataEntry_Standard!K12&gt;=4,1,0)+IF(DataEntry_Standard!L12&gt;=4,1,0)+IF(DataEntry_Standard!M12&gt;=4,1,0)+IF(DataEntry_Standard!N12&gt;=4,1,0)+IF(DataEntry_Standard!O12&gt;=4,1,0)+IF(DataEntry_Standard!P12&gt;=4,1,0)+IF(DataEntry_Standard!T12&gt;=4,1,0)+IF(DataEntry_Standard!U12&gt;=4,1,0)+IF(DataEntry_Standard!V12&gt;=4,1,0)+IF(DataEntry_Standard!W12&gt;=4,1,0)+IF(DataEntry_Standard!Z12&gt;=4,1,0)+IF(DataEntry_Standard!AB12&gt;=4,1,0)+IF(DataEntry_Standard!AC12&gt;=4,1,0)+IF(DataEntry_Standard!AD12&gt;=4,1,0)+IF(DataEntry_Standard!AE12&gt;=4,1,0)+IF(DataEntry_Standard!AF12&gt;=4,1,0)+IF(DataEntry_Standard!AH12&gt;=4,1,0)+IF(DataEntry_Standard!AJ12&gt;=4,1,0)+IF(DataEntry_Standard!AL12&gt;=4,1,0)+IF(DataEntry_Standard!AI12&lt;=2,1,0)+IF(DataEntry_Standard!E12&lt;=2,1,0)+IF(DataEntry_Standard!F12&lt;=2,1,0)+IF(DataEntry_Standard!AK12&lt;=2,1,0)+IF(DataEntry_Standard!H12&lt;=2,1,0)+IF(DataEntry_Standard!Q12&lt;=2,1,0)+IF(DataEntry_Standard!R12&lt;=2,1,0)+IF(DataEntry_Standard!S12&lt;=2,1,0)+IF(DataEntry_Standard!X12&lt;=2,1,0)+IF(DataEntry_Standard!Y12&lt;=2,1,0)+IF(DataEntry_Standard!AA12&lt;=2,1,0)+IF(DataEntry_Standard!AG12&lt;=2,1,0)</f>
        <v>12</v>
      </c>
      <c r="J10" s="24">
        <f>IF(DataEntry_SmartICT!D12&lt;&gt;"",DataEntry_SmartICT!D12,0)+IF(DataEntry_SmartICT!E12&lt;&gt;"",DataEntry_SmartICT!E12,0)+IF(DataEntry_SmartICT!F12&lt;&gt;"",6-DataEntry_SmartICT!F12,0)+IF(DataEntry_SmartICT!G12&lt;&gt;"",6-DataEntry_SmartICT!G12,0)+IF(DataEntry_SmartICT!H12&lt;&gt;"",DataEntry_SmartICT!H12,0)+IF(DataEntry_SmartICT!I12&lt;&gt;"",DataEntry_SmartICT!I12,0)+IF(DataEntry_SmartICT!J12&lt;&gt;"",6-DataEntry_SmartICT!J12,0)+IF(DataEntry_SmartICT!K12&lt;&gt;"",DataEntry_SmartICT!K12,0)+IF(DataEntry_SmartICT!L12&lt;&gt;"",6-DataEntry_SmartICT!L12,0)+IF(DataEntry_SmartICT!M12&lt;&gt;"",DataEntry_SmartICT!M12,0)+IF(DataEntry_SmartICT!N12&lt;&gt;"",6-DataEntry_SmartICT!N12,0)+IF(DataEntry_SmartICT!O12&lt;&gt;"",6-DataEntry_SmartICT!O12,0)+IF(DataEntry_SmartICT!P12&lt;&gt;"",6-DataEntry_SmartICT!P12,0)+IF(DataEntry_SmartICT!Q12&lt;&gt;"",6-DataEntry_SmartICT!Q12,0)+IF(DataEntry_SmartICT!R12&lt;&gt;"",6-DataEntry_SmartICT!R12,0)+IF(DataEntry_SmartICT!S12&lt;&gt;"",6-DataEntry_SmartICT!S12,0)+IF(DataEntry_SmartICT!T12&lt;&gt;"",6-DataEntry_SmartICT!T12,0)+IF(DataEntry_SmartICT!U12&lt;&gt;"",6-DataEntry_SmartICT!U12,0)+IF(DataEntry_SmartICT!V12&lt;&gt;"",DataEntry_SmartICT!V12,0)+IF(DataEntry_SmartICT!W12&lt;&gt;"",DataEntry_SmartICT!W12,0)+IF(DataEntry_SmartICT!X12&lt;&gt;"",DataEntry_SmartICT!X12,0)+IF(DataEntry_SmartICT!Y12&lt;&gt;"",6-DataEntry_SmartICT!Y12,0)+IF(DataEntry_SmartICT!Z12&lt;&gt;"",6-DataEntry_SmartICT!Z12,0)+IF(DataEntry_SmartICT!AA12&lt;&gt;"",DataEntry_SmartICT!AA12,0)+IF(DataEntry_SmartICT!AB12&lt;&gt;"",DataEntry_SmartICT!AB12,0)+IF(DataEntry_SmartICT!AC12&lt;&gt;"",6-DataEntry_SmartICT!AC12,0)+IF(DataEntry_SmartICT!AD12&lt;&gt;"",DataEntry_SmartICT!AD12,0)</f>
        <v>0</v>
      </c>
      <c r="K10" s="24">
        <f t="shared" si="1"/>
        <v>0</v>
      </c>
      <c r="L10" s="25" t="str">
        <f>IF(H10="","",IF(H10/35&lt;=Configurazione!C21,"Trascurabile",IF(H10/35&lt;=Configurazione!C22,"Moderato","Rilevante")))</f>
        <v>Trascurabile</v>
      </c>
      <c r="M10" s="25" t="str">
        <f>IF(J10=0,"N/A",IF(J10/27&lt;=Configurazione!C26,"Trascurabile",IF(J10/27&lt;=Configurazione!C27,"Moderato","Rilevante")))</f>
        <v>N/A</v>
      </c>
    </row>
    <row r="11" spans="1:13" x14ac:dyDescent="0.25">
      <c r="A11" s="18" t="str">
        <f>DataEntry_Standard!A13</f>
        <v>COMP-009</v>
      </c>
      <c r="B11" s="18">
        <f>DataEntry_Standard!C13</f>
        <v>0</v>
      </c>
      <c r="C11" s="24">
        <f>IF(DataEntry_Standard!D13&lt;&gt;"",DataEntry_Standard!D13,0)+IF(DataEntry_Standard!E13&lt;&gt;"",6-DataEntry_Standard!E13,0)+IF(DataEntry_Standard!F13&lt;&gt;"",6-DataEntry_Standard!F13,0)+IF(DataEntry_Standard!G13&lt;&gt;"",DataEntry_Standard!G13,0)+IF(DataEntry_Standard!H13&lt;&gt;"",6-DataEntry_Standard!H13,0)+IF(DataEntry_Standard!I13&lt;&gt;"",DataEntry_Standard!I13,0)+IF(DataEntry_Standard!J13&lt;&gt;"",DataEntry_Standard!J13,0)+IF(DataEntry_Standard!K13&lt;&gt;"",DataEntry_Standard!K13,0)+IF(DataEntry_Standard!L13&lt;&gt;"",DataEntry_Standard!L13,0)+IF(DataEntry_Standard!M13&lt;&gt;"",DataEntry_Standard!M13,0)</f>
        <v>0</v>
      </c>
      <c r="D11" s="24">
        <f>IF(DataEntry_Standard!N13&lt;&gt;"",DataEntry_Standard!N13,0)+IF(DataEntry_Standard!O13&lt;&gt;"",DataEntry_Standard!O13,0)+IF(DataEntry_Standard!P13&lt;&gt;"",DataEntry_Standard!P13,0)+IF(DataEntry_Standard!Q13&lt;&gt;"",6-DataEntry_Standard!Q13,0)+IF(DataEntry_Standard!R13&lt;&gt;"",6-DataEntry_Standard!R13,0)+IF(DataEntry_Standard!S13&lt;&gt;"",6-DataEntry_Standard!S13,0)+IF(DataEntry_Standard!T13&lt;&gt;"",DataEntry_Standard!T13,0)+IF(DataEntry_Standard!U13&lt;&gt;"",DataEntry_Standard!U13,0)+IF(DataEntry_Standard!V13&lt;&gt;"",DataEntry_Standard!V13,0)</f>
        <v>0</v>
      </c>
      <c r="E11" s="24">
        <f>IF(DataEntry_Standard!W13&lt;&gt;"",DataEntry_Standard!W13,0)+IF(DataEntry_Standard!X13&lt;&gt;"",6-DataEntry_Standard!X13,0)+IF(DataEntry_Standard!Y13&lt;&gt;"",6-DataEntry_Standard!Y13,0)+IF(DataEntry_Standard!Z13&lt;&gt;"",DataEntry_Standard!Z13,0)+IF(DataEntry_Standard!AA13&lt;&gt;"",6-DataEntry_Standard!AA13,0)+IF(DataEntry_Standard!AB13&lt;&gt;"",DataEntry_Standard!AB13,0)+IF(DataEntry_Standard!AC13&lt;&gt;"",DataEntry_Standard!AC13,0)+IF(DataEntry_Standard!AD13&lt;&gt;"",DataEntry_Standard!AD13,0)</f>
        <v>0</v>
      </c>
      <c r="F11" s="24">
        <f>IF(DataEntry_Standard!AE13&lt;&gt;"",DataEntry_Standard!AE13,0)+IF(DataEntry_Standard!AF13&lt;&gt;"",DataEntry_Standard!AF13,0)+IF(DataEntry_Standard!AG13&lt;&gt;"",6-DataEntry_Standard!AG13,0)+IF(DataEntry_Standard!AH13&lt;&gt;"",DataEntry_Standard!AH13,0)+IF(DataEntry_Standard!AI13&lt;&gt;"",6-DataEntry_Standard!AI13,0)</f>
        <v>0</v>
      </c>
      <c r="G11" s="24">
        <f>IF(DataEntry_Standard!AJ13&lt;&gt;"",DataEntry_Standard!AJ13,0)+IF(DataEntry_Standard!AK13&lt;&gt;"",6-DataEntry_Standard!AK13,0)+IF(DataEntry_Standard!AL13&lt;&gt;"",DataEntry_Standard!AL13,0)</f>
        <v>0</v>
      </c>
      <c r="H11" s="24">
        <f t="shared" si="0"/>
        <v>0</v>
      </c>
      <c r="I11" s="24">
        <f>IF(DataEntry_Standard!D13&gt;=4,1,0)+IF(DataEntry_Standard!G13&gt;=4,1,0)+IF(DataEntry_Standard!I13&gt;=4,1,0)+IF(DataEntry_Standard!J13&gt;=4,1,0)+IF(DataEntry_Standard!K13&gt;=4,1,0)+IF(DataEntry_Standard!L13&gt;=4,1,0)+IF(DataEntry_Standard!M13&gt;=4,1,0)+IF(DataEntry_Standard!N13&gt;=4,1,0)+IF(DataEntry_Standard!O13&gt;=4,1,0)+IF(DataEntry_Standard!P13&gt;=4,1,0)+IF(DataEntry_Standard!T13&gt;=4,1,0)+IF(DataEntry_Standard!U13&gt;=4,1,0)+IF(DataEntry_Standard!V13&gt;=4,1,0)+IF(DataEntry_Standard!W13&gt;=4,1,0)+IF(DataEntry_Standard!Z13&gt;=4,1,0)+IF(DataEntry_Standard!AB13&gt;=4,1,0)+IF(DataEntry_Standard!AC13&gt;=4,1,0)+IF(DataEntry_Standard!AD13&gt;=4,1,0)+IF(DataEntry_Standard!AE13&gt;=4,1,0)+IF(DataEntry_Standard!AF13&gt;=4,1,0)+IF(DataEntry_Standard!AH13&gt;=4,1,0)+IF(DataEntry_Standard!AJ13&gt;=4,1,0)+IF(DataEntry_Standard!AL13&gt;=4,1,0)+IF(DataEntry_Standard!AI13&lt;=2,1,0)+IF(DataEntry_Standard!E13&lt;=2,1,0)+IF(DataEntry_Standard!F13&lt;=2,1,0)+IF(DataEntry_Standard!AK13&lt;=2,1,0)+IF(DataEntry_Standard!H13&lt;=2,1,0)+IF(DataEntry_Standard!Q13&lt;=2,1,0)+IF(DataEntry_Standard!R13&lt;=2,1,0)+IF(DataEntry_Standard!S13&lt;=2,1,0)+IF(DataEntry_Standard!X13&lt;=2,1,0)+IF(DataEntry_Standard!Y13&lt;=2,1,0)+IF(DataEntry_Standard!AA13&lt;=2,1,0)+IF(DataEntry_Standard!AG13&lt;=2,1,0)</f>
        <v>12</v>
      </c>
      <c r="J11" s="24">
        <f>IF(DataEntry_SmartICT!D13&lt;&gt;"",DataEntry_SmartICT!D13,0)+IF(DataEntry_SmartICT!E13&lt;&gt;"",DataEntry_SmartICT!E13,0)+IF(DataEntry_SmartICT!F13&lt;&gt;"",6-DataEntry_SmartICT!F13,0)+IF(DataEntry_SmartICT!G13&lt;&gt;"",6-DataEntry_SmartICT!G13,0)+IF(DataEntry_SmartICT!H13&lt;&gt;"",DataEntry_SmartICT!H13,0)+IF(DataEntry_SmartICT!I13&lt;&gt;"",DataEntry_SmartICT!I13,0)+IF(DataEntry_SmartICT!J13&lt;&gt;"",6-DataEntry_SmartICT!J13,0)+IF(DataEntry_SmartICT!K13&lt;&gt;"",DataEntry_SmartICT!K13,0)+IF(DataEntry_SmartICT!L13&lt;&gt;"",6-DataEntry_SmartICT!L13,0)+IF(DataEntry_SmartICT!M13&lt;&gt;"",DataEntry_SmartICT!M13,0)+IF(DataEntry_SmartICT!N13&lt;&gt;"",6-DataEntry_SmartICT!N13,0)+IF(DataEntry_SmartICT!O13&lt;&gt;"",6-DataEntry_SmartICT!O13,0)+IF(DataEntry_SmartICT!P13&lt;&gt;"",6-DataEntry_SmartICT!P13,0)+IF(DataEntry_SmartICT!Q13&lt;&gt;"",6-DataEntry_SmartICT!Q13,0)+IF(DataEntry_SmartICT!R13&lt;&gt;"",6-DataEntry_SmartICT!R13,0)+IF(DataEntry_SmartICT!S13&lt;&gt;"",6-DataEntry_SmartICT!S13,0)+IF(DataEntry_SmartICT!T13&lt;&gt;"",6-DataEntry_SmartICT!T13,0)+IF(DataEntry_SmartICT!U13&lt;&gt;"",6-DataEntry_SmartICT!U13,0)+IF(DataEntry_SmartICT!V13&lt;&gt;"",DataEntry_SmartICT!V13,0)+IF(DataEntry_SmartICT!W13&lt;&gt;"",DataEntry_SmartICT!W13,0)+IF(DataEntry_SmartICT!X13&lt;&gt;"",DataEntry_SmartICT!X13,0)+IF(DataEntry_SmartICT!Y13&lt;&gt;"",6-DataEntry_SmartICT!Y13,0)+IF(DataEntry_SmartICT!Z13&lt;&gt;"",6-DataEntry_SmartICT!Z13,0)+IF(DataEntry_SmartICT!AA13&lt;&gt;"",DataEntry_SmartICT!AA13,0)+IF(DataEntry_SmartICT!AB13&lt;&gt;"",DataEntry_SmartICT!AB13,0)+IF(DataEntry_SmartICT!AC13&lt;&gt;"",6-DataEntry_SmartICT!AC13,0)+IF(DataEntry_SmartICT!AD13&lt;&gt;"",DataEntry_SmartICT!AD13,0)</f>
        <v>0</v>
      </c>
      <c r="K11" s="24">
        <f t="shared" si="1"/>
        <v>0</v>
      </c>
      <c r="L11" s="25" t="str">
        <f>IF(H11="","",IF(H11/35&lt;=Configurazione!C21,"Trascurabile",IF(H11/35&lt;=Configurazione!C22,"Moderato","Rilevante")))</f>
        <v>Trascurabile</v>
      </c>
      <c r="M11" s="25" t="str">
        <f>IF(J11=0,"N/A",IF(J11/27&lt;=Configurazione!C26,"Trascurabile",IF(J11/27&lt;=Configurazione!C27,"Moderato","Rilevante")))</f>
        <v>N/A</v>
      </c>
    </row>
    <row r="12" spans="1:13" x14ac:dyDescent="0.25">
      <c r="A12" s="18" t="str">
        <f>DataEntry_Standard!A14</f>
        <v>COMP-010</v>
      </c>
      <c r="B12" s="18">
        <f>DataEntry_Standard!C14</f>
        <v>0</v>
      </c>
      <c r="C12" s="24">
        <f>IF(DataEntry_Standard!D14&lt;&gt;"",DataEntry_Standard!D14,0)+IF(DataEntry_Standard!E14&lt;&gt;"",6-DataEntry_Standard!E14,0)+IF(DataEntry_Standard!F14&lt;&gt;"",6-DataEntry_Standard!F14,0)+IF(DataEntry_Standard!G14&lt;&gt;"",DataEntry_Standard!G14,0)+IF(DataEntry_Standard!H14&lt;&gt;"",6-DataEntry_Standard!H14,0)+IF(DataEntry_Standard!I14&lt;&gt;"",DataEntry_Standard!I14,0)+IF(DataEntry_Standard!J14&lt;&gt;"",DataEntry_Standard!J14,0)+IF(DataEntry_Standard!K14&lt;&gt;"",DataEntry_Standard!K14,0)+IF(DataEntry_Standard!L14&lt;&gt;"",DataEntry_Standard!L14,0)+IF(DataEntry_Standard!M14&lt;&gt;"",DataEntry_Standard!M14,0)</f>
        <v>0</v>
      </c>
      <c r="D12" s="24">
        <f>IF(DataEntry_Standard!N14&lt;&gt;"",DataEntry_Standard!N14,0)+IF(DataEntry_Standard!O14&lt;&gt;"",DataEntry_Standard!O14,0)+IF(DataEntry_Standard!P14&lt;&gt;"",DataEntry_Standard!P14,0)+IF(DataEntry_Standard!Q14&lt;&gt;"",6-DataEntry_Standard!Q14,0)+IF(DataEntry_Standard!R14&lt;&gt;"",6-DataEntry_Standard!R14,0)+IF(DataEntry_Standard!S14&lt;&gt;"",6-DataEntry_Standard!S14,0)+IF(DataEntry_Standard!T14&lt;&gt;"",DataEntry_Standard!T14,0)+IF(DataEntry_Standard!U14&lt;&gt;"",DataEntry_Standard!U14,0)+IF(DataEntry_Standard!V14&lt;&gt;"",DataEntry_Standard!V14,0)</f>
        <v>0</v>
      </c>
      <c r="E12" s="24">
        <f>IF(DataEntry_Standard!W14&lt;&gt;"",DataEntry_Standard!W14,0)+IF(DataEntry_Standard!X14&lt;&gt;"",6-DataEntry_Standard!X14,0)+IF(DataEntry_Standard!Y14&lt;&gt;"",6-DataEntry_Standard!Y14,0)+IF(DataEntry_Standard!Z14&lt;&gt;"",DataEntry_Standard!Z14,0)+IF(DataEntry_Standard!AA14&lt;&gt;"",6-DataEntry_Standard!AA14,0)+IF(DataEntry_Standard!AB14&lt;&gt;"",DataEntry_Standard!AB14,0)+IF(DataEntry_Standard!AC14&lt;&gt;"",DataEntry_Standard!AC14,0)+IF(DataEntry_Standard!AD14&lt;&gt;"",DataEntry_Standard!AD14,0)</f>
        <v>0</v>
      </c>
      <c r="F12" s="24">
        <f>IF(DataEntry_Standard!AE14&lt;&gt;"",DataEntry_Standard!AE14,0)+IF(DataEntry_Standard!AF14&lt;&gt;"",DataEntry_Standard!AF14,0)+IF(DataEntry_Standard!AG14&lt;&gt;"",6-DataEntry_Standard!AG14,0)+IF(DataEntry_Standard!AH14&lt;&gt;"",DataEntry_Standard!AH14,0)+IF(DataEntry_Standard!AI14&lt;&gt;"",6-DataEntry_Standard!AI14,0)</f>
        <v>0</v>
      </c>
      <c r="G12" s="24">
        <f>IF(DataEntry_Standard!AJ14&lt;&gt;"",DataEntry_Standard!AJ14,0)+IF(DataEntry_Standard!AK14&lt;&gt;"",6-DataEntry_Standard!AK14,0)+IF(DataEntry_Standard!AL14&lt;&gt;"",DataEntry_Standard!AL14,0)</f>
        <v>0</v>
      </c>
      <c r="H12" s="24">
        <f t="shared" si="0"/>
        <v>0</v>
      </c>
      <c r="I12" s="24">
        <f>IF(DataEntry_Standard!D14&gt;=4,1,0)+IF(DataEntry_Standard!G14&gt;=4,1,0)+IF(DataEntry_Standard!I14&gt;=4,1,0)+IF(DataEntry_Standard!J14&gt;=4,1,0)+IF(DataEntry_Standard!K14&gt;=4,1,0)+IF(DataEntry_Standard!L14&gt;=4,1,0)+IF(DataEntry_Standard!M14&gt;=4,1,0)+IF(DataEntry_Standard!N14&gt;=4,1,0)+IF(DataEntry_Standard!O14&gt;=4,1,0)+IF(DataEntry_Standard!P14&gt;=4,1,0)+IF(DataEntry_Standard!T14&gt;=4,1,0)+IF(DataEntry_Standard!U14&gt;=4,1,0)+IF(DataEntry_Standard!V14&gt;=4,1,0)+IF(DataEntry_Standard!W14&gt;=4,1,0)+IF(DataEntry_Standard!Z14&gt;=4,1,0)+IF(DataEntry_Standard!AB14&gt;=4,1,0)+IF(DataEntry_Standard!AC14&gt;=4,1,0)+IF(DataEntry_Standard!AD14&gt;=4,1,0)+IF(DataEntry_Standard!AE14&gt;=4,1,0)+IF(DataEntry_Standard!AF14&gt;=4,1,0)+IF(DataEntry_Standard!AH14&gt;=4,1,0)+IF(DataEntry_Standard!AJ14&gt;=4,1,0)+IF(DataEntry_Standard!AL14&gt;=4,1,0)+IF(DataEntry_Standard!AI14&lt;=2,1,0)+IF(DataEntry_Standard!E14&lt;=2,1,0)+IF(DataEntry_Standard!F14&lt;=2,1,0)+IF(DataEntry_Standard!AK14&lt;=2,1,0)+IF(DataEntry_Standard!H14&lt;=2,1,0)+IF(DataEntry_Standard!Q14&lt;=2,1,0)+IF(DataEntry_Standard!R14&lt;=2,1,0)+IF(DataEntry_Standard!S14&lt;=2,1,0)+IF(DataEntry_Standard!X14&lt;=2,1,0)+IF(DataEntry_Standard!Y14&lt;=2,1,0)+IF(DataEntry_Standard!AA14&lt;=2,1,0)+IF(DataEntry_Standard!AG14&lt;=2,1,0)</f>
        <v>12</v>
      </c>
      <c r="J12" s="24">
        <f>IF(DataEntry_SmartICT!D14&lt;&gt;"",DataEntry_SmartICT!D14,0)+IF(DataEntry_SmartICT!E14&lt;&gt;"",DataEntry_SmartICT!E14,0)+IF(DataEntry_SmartICT!F14&lt;&gt;"",6-DataEntry_SmartICT!F14,0)+IF(DataEntry_SmartICT!G14&lt;&gt;"",6-DataEntry_SmartICT!G14,0)+IF(DataEntry_SmartICT!H14&lt;&gt;"",DataEntry_SmartICT!H14,0)+IF(DataEntry_SmartICT!I14&lt;&gt;"",DataEntry_SmartICT!I14,0)+IF(DataEntry_SmartICT!J14&lt;&gt;"",6-DataEntry_SmartICT!J14,0)+IF(DataEntry_SmartICT!K14&lt;&gt;"",DataEntry_SmartICT!K14,0)+IF(DataEntry_SmartICT!L14&lt;&gt;"",6-DataEntry_SmartICT!L14,0)+IF(DataEntry_SmartICT!M14&lt;&gt;"",DataEntry_SmartICT!M14,0)+IF(DataEntry_SmartICT!N14&lt;&gt;"",6-DataEntry_SmartICT!N14,0)+IF(DataEntry_SmartICT!O14&lt;&gt;"",6-DataEntry_SmartICT!O14,0)+IF(DataEntry_SmartICT!P14&lt;&gt;"",6-DataEntry_SmartICT!P14,0)+IF(DataEntry_SmartICT!Q14&lt;&gt;"",6-DataEntry_SmartICT!Q14,0)+IF(DataEntry_SmartICT!R14&lt;&gt;"",6-DataEntry_SmartICT!R14,0)+IF(DataEntry_SmartICT!S14&lt;&gt;"",6-DataEntry_SmartICT!S14,0)+IF(DataEntry_SmartICT!T14&lt;&gt;"",6-DataEntry_SmartICT!T14,0)+IF(DataEntry_SmartICT!U14&lt;&gt;"",6-DataEntry_SmartICT!U14,0)+IF(DataEntry_SmartICT!V14&lt;&gt;"",DataEntry_SmartICT!V14,0)+IF(DataEntry_SmartICT!W14&lt;&gt;"",DataEntry_SmartICT!W14,0)+IF(DataEntry_SmartICT!X14&lt;&gt;"",DataEntry_SmartICT!X14,0)+IF(DataEntry_SmartICT!Y14&lt;&gt;"",6-DataEntry_SmartICT!Y14,0)+IF(DataEntry_SmartICT!Z14&lt;&gt;"",6-DataEntry_SmartICT!Z14,0)+IF(DataEntry_SmartICT!AA14&lt;&gt;"",DataEntry_SmartICT!AA14,0)+IF(DataEntry_SmartICT!AB14&lt;&gt;"",DataEntry_SmartICT!AB14,0)+IF(DataEntry_SmartICT!AC14&lt;&gt;"",6-DataEntry_SmartICT!AC14,0)+IF(DataEntry_SmartICT!AD14&lt;&gt;"",DataEntry_SmartICT!AD14,0)</f>
        <v>0</v>
      </c>
      <c r="K12" s="24">
        <f t="shared" si="1"/>
        <v>0</v>
      </c>
      <c r="L12" s="25" t="str">
        <f>IF(H12="","",IF(H12/35&lt;=Configurazione!C21,"Trascurabile",IF(H12/35&lt;=Configurazione!C22,"Moderato","Rilevante")))</f>
        <v>Trascurabile</v>
      </c>
      <c r="M12" s="25" t="str">
        <f>IF(J12=0,"N/A",IF(J12/27&lt;=Configurazione!C26,"Trascurabile",IF(J12/27&lt;=Configurazione!C27,"Moderato","Rilevante")))</f>
        <v>N/A</v>
      </c>
    </row>
    <row r="13" spans="1:13" x14ac:dyDescent="0.25">
      <c r="A13" s="18" t="str">
        <f>DataEntry_Standard!A15</f>
        <v>COMP-011</v>
      </c>
      <c r="B13" s="18">
        <f>DataEntry_Standard!C15</f>
        <v>0</v>
      </c>
      <c r="C13" s="24">
        <f>IF(DataEntry_Standard!D15&lt;&gt;"",DataEntry_Standard!D15,0)+IF(DataEntry_Standard!E15&lt;&gt;"",6-DataEntry_Standard!E15,0)+IF(DataEntry_Standard!F15&lt;&gt;"",6-DataEntry_Standard!F15,0)+IF(DataEntry_Standard!G15&lt;&gt;"",DataEntry_Standard!G15,0)+IF(DataEntry_Standard!H15&lt;&gt;"",6-DataEntry_Standard!H15,0)+IF(DataEntry_Standard!I15&lt;&gt;"",DataEntry_Standard!I15,0)+IF(DataEntry_Standard!J15&lt;&gt;"",DataEntry_Standard!J15,0)+IF(DataEntry_Standard!K15&lt;&gt;"",DataEntry_Standard!K15,0)+IF(DataEntry_Standard!L15&lt;&gt;"",DataEntry_Standard!L15,0)+IF(DataEntry_Standard!M15&lt;&gt;"",DataEntry_Standard!M15,0)</f>
        <v>0</v>
      </c>
      <c r="D13" s="24">
        <f>IF(DataEntry_Standard!N15&lt;&gt;"",DataEntry_Standard!N15,0)+IF(DataEntry_Standard!O15&lt;&gt;"",DataEntry_Standard!O15,0)+IF(DataEntry_Standard!P15&lt;&gt;"",DataEntry_Standard!P15,0)+IF(DataEntry_Standard!Q15&lt;&gt;"",6-DataEntry_Standard!Q15,0)+IF(DataEntry_Standard!R15&lt;&gt;"",6-DataEntry_Standard!R15,0)+IF(DataEntry_Standard!S15&lt;&gt;"",6-DataEntry_Standard!S15,0)+IF(DataEntry_Standard!T15&lt;&gt;"",DataEntry_Standard!T15,0)+IF(DataEntry_Standard!U15&lt;&gt;"",DataEntry_Standard!U15,0)+IF(DataEntry_Standard!V15&lt;&gt;"",DataEntry_Standard!V15,0)</f>
        <v>0</v>
      </c>
      <c r="E13" s="24">
        <f>IF(DataEntry_Standard!W15&lt;&gt;"",DataEntry_Standard!W15,0)+IF(DataEntry_Standard!X15&lt;&gt;"",6-DataEntry_Standard!X15,0)+IF(DataEntry_Standard!Y15&lt;&gt;"",6-DataEntry_Standard!Y15,0)+IF(DataEntry_Standard!Z15&lt;&gt;"",DataEntry_Standard!Z15,0)+IF(DataEntry_Standard!AA15&lt;&gt;"",6-DataEntry_Standard!AA15,0)+IF(DataEntry_Standard!AB15&lt;&gt;"",DataEntry_Standard!AB15,0)+IF(DataEntry_Standard!AC15&lt;&gt;"",DataEntry_Standard!AC15,0)+IF(DataEntry_Standard!AD15&lt;&gt;"",DataEntry_Standard!AD15,0)</f>
        <v>0</v>
      </c>
      <c r="F13" s="24">
        <f>IF(DataEntry_Standard!AE15&lt;&gt;"",DataEntry_Standard!AE15,0)+IF(DataEntry_Standard!AF15&lt;&gt;"",DataEntry_Standard!AF15,0)+IF(DataEntry_Standard!AG15&lt;&gt;"",6-DataEntry_Standard!AG15,0)+IF(DataEntry_Standard!AH15&lt;&gt;"",DataEntry_Standard!AH15,0)+IF(DataEntry_Standard!AI15&lt;&gt;"",6-DataEntry_Standard!AI15,0)</f>
        <v>0</v>
      </c>
      <c r="G13" s="24">
        <f>IF(DataEntry_Standard!AJ15&lt;&gt;"",DataEntry_Standard!AJ15,0)+IF(DataEntry_Standard!AK15&lt;&gt;"",6-DataEntry_Standard!AK15,0)+IF(DataEntry_Standard!AL15&lt;&gt;"",DataEntry_Standard!AL15,0)</f>
        <v>0</v>
      </c>
      <c r="H13" s="24">
        <f t="shared" si="0"/>
        <v>0</v>
      </c>
      <c r="I13" s="24">
        <f>IF(DataEntry_Standard!D15&gt;=4,1,0)+IF(DataEntry_Standard!G15&gt;=4,1,0)+IF(DataEntry_Standard!I15&gt;=4,1,0)+IF(DataEntry_Standard!J15&gt;=4,1,0)+IF(DataEntry_Standard!K15&gt;=4,1,0)+IF(DataEntry_Standard!L15&gt;=4,1,0)+IF(DataEntry_Standard!M15&gt;=4,1,0)+IF(DataEntry_Standard!N15&gt;=4,1,0)+IF(DataEntry_Standard!O15&gt;=4,1,0)+IF(DataEntry_Standard!P15&gt;=4,1,0)+IF(DataEntry_Standard!T15&gt;=4,1,0)+IF(DataEntry_Standard!U15&gt;=4,1,0)+IF(DataEntry_Standard!V15&gt;=4,1,0)+IF(DataEntry_Standard!W15&gt;=4,1,0)+IF(DataEntry_Standard!Z15&gt;=4,1,0)+IF(DataEntry_Standard!AB15&gt;=4,1,0)+IF(DataEntry_Standard!AC15&gt;=4,1,0)+IF(DataEntry_Standard!AD15&gt;=4,1,0)+IF(DataEntry_Standard!AE15&gt;=4,1,0)+IF(DataEntry_Standard!AF15&gt;=4,1,0)+IF(DataEntry_Standard!AH15&gt;=4,1,0)+IF(DataEntry_Standard!AJ15&gt;=4,1,0)+IF(DataEntry_Standard!AL15&gt;=4,1,0)+IF(DataEntry_Standard!AI15&lt;=2,1,0)+IF(DataEntry_Standard!E15&lt;=2,1,0)+IF(DataEntry_Standard!F15&lt;=2,1,0)+IF(DataEntry_Standard!AK15&lt;=2,1,0)+IF(DataEntry_Standard!H15&lt;=2,1,0)+IF(DataEntry_Standard!Q15&lt;=2,1,0)+IF(DataEntry_Standard!R15&lt;=2,1,0)+IF(DataEntry_Standard!S15&lt;=2,1,0)+IF(DataEntry_Standard!X15&lt;=2,1,0)+IF(DataEntry_Standard!Y15&lt;=2,1,0)+IF(DataEntry_Standard!AA15&lt;=2,1,0)+IF(DataEntry_Standard!AG15&lt;=2,1,0)</f>
        <v>12</v>
      </c>
      <c r="J13" s="24">
        <f>IF(DataEntry_SmartICT!D15&lt;&gt;"",DataEntry_SmartICT!D15,0)+IF(DataEntry_SmartICT!E15&lt;&gt;"",DataEntry_SmartICT!E15,0)+IF(DataEntry_SmartICT!F15&lt;&gt;"",6-DataEntry_SmartICT!F15,0)+IF(DataEntry_SmartICT!G15&lt;&gt;"",6-DataEntry_SmartICT!G15,0)+IF(DataEntry_SmartICT!H15&lt;&gt;"",DataEntry_SmartICT!H15,0)+IF(DataEntry_SmartICT!I15&lt;&gt;"",DataEntry_SmartICT!I15,0)+IF(DataEntry_SmartICT!J15&lt;&gt;"",6-DataEntry_SmartICT!J15,0)+IF(DataEntry_SmartICT!K15&lt;&gt;"",DataEntry_SmartICT!K15,0)+IF(DataEntry_SmartICT!L15&lt;&gt;"",6-DataEntry_SmartICT!L15,0)+IF(DataEntry_SmartICT!M15&lt;&gt;"",DataEntry_SmartICT!M15,0)+IF(DataEntry_SmartICT!N15&lt;&gt;"",6-DataEntry_SmartICT!N15,0)+IF(DataEntry_SmartICT!O15&lt;&gt;"",6-DataEntry_SmartICT!O15,0)+IF(DataEntry_SmartICT!P15&lt;&gt;"",6-DataEntry_SmartICT!P15,0)+IF(DataEntry_SmartICT!Q15&lt;&gt;"",6-DataEntry_SmartICT!Q15,0)+IF(DataEntry_SmartICT!R15&lt;&gt;"",6-DataEntry_SmartICT!R15,0)+IF(DataEntry_SmartICT!S15&lt;&gt;"",6-DataEntry_SmartICT!S15,0)+IF(DataEntry_SmartICT!T15&lt;&gt;"",6-DataEntry_SmartICT!T15,0)+IF(DataEntry_SmartICT!U15&lt;&gt;"",6-DataEntry_SmartICT!U15,0)+IF(DataEntry_SmartICT!V15&lt;&gt;"",DataEntry_SmartICT!V15,0)+IF(DataEntry_SmartICT!W15&lt;&gt;"",DataEntry_SmartICT!W15,0)+IF(DataEntry_SmartICT!X15&lt;&gt;"",DataEntry_SmartICT!X15,0)+IF(DataEntry_SmartICT!Y15&lt;&gt;"",6-DataEntry_SmartICT!Y15,0)+IF(DataEntry_SmartICT!Z15&lt;&gt;"",6-DataEntry_SmartICT!Z15,0)+IF(DataEntry_SmartICT!AA15&lt;&gt;"",DataEntry_SmartICT!AA15,0)+IF(DataEntry_SmartICT!AB15&lt;&gt;"",DataEntry_SmartICT!AB15,0)+IF(DataEntry_SmartICT!AC15&lt;&gt;"",6-DataEntry_SmartICT!AC15,0)+IF(DataEntry_SmartICT!AD15&lt;&gt;"",DataEntry_SmartICT!AD15,0)</f>
        <v>0</v>
      </c>
      <c r="K13" s="24">
        <f t="shared" si="1"/>
        <v>0</v>
      </c>
      <c r="L13" s="25" t="str">
        <f>IF(H13="","",IF(H13/35&lt;=Configurazione!C21,"Trascurabile",IF(H13/35&lt;=Configurazione!C22,"Moderato","Rilevante")))</f>
        <v>Trascurabile</v>
      </c>
      <c r="M13" s="25" t="str">
        <f>IF(J13=0,"N/A",IF(J13/27&lt;=Configurazione!C26,"Trascurabile",IF(J13/27&lt;=Configurazione!C27,"Moderato","Rilevante")))</f>
        <v>N/A</v>
      </c>
    </row>
    <row r="14" spans="1:13" x14ac:dyDescent="0.25">
      <c r="A14" s="18" t="str">
        <f>DataEntry_Standard!A16</f>
        <v>COMP-012</v>
      </c>
      <c r="B14" s="18">
        <f>DataEntry_Standard!C16</f>
        <v>0</v>
      </c>
      <c r="C14" s="24">
        <f>IF(DataEntry_Standard!D16&lt;&gt;"",DataEntry_Standard!D16,0)+IF(DataEntry_Standard!E16&lt;&gt;"",6-DataEntry_Standard!E16,0)+IF(DataEntry_Standard!F16&lt;&gt;"",6-DataEntry_Standard!F16,0)+IF(DataEntry_Standard!G16&lt;&gt;"",DataEntry_Standard!G16,0)+IF(DataEntry_Standard!H16&lt;&gt;"",6-DataEntry_Standard!H16,0)+IF(DataEntry_Standard!I16&lt;&gt;"",DataEntry_Standard!I16,0)+IF(DataEntry_Standard!J16&lt;&gt;"",DataEntry_Standard!J16,0)+IF(DataEntry_Standard!K16&lt;&gt;"",DataEntry_Standard!K16,0)+IF(DataEntry_Standard!L16&lt;&gt;"",DataEntry_Standard!L16,0)+IF(DataEntry_Standard!M16&lt;&gt;"",DataEntry_Standard!M16,0)</f>
        <v>0</v>
      </c>
      <c r="D14" s="24">
        <f>IF(DataEntry_Standard!N16&lt;&gt;"",DataEntry_Standard!N16,0)+IF(DataEntry_Standard!O16&lt;&gt;"",DataEntry_Standard!O16,0)+IF(DataEntry_Standard!P16&lt;&gt;"",DataEntry_Standard!P16,0)+IF(DataEntry_Standard!Q16&lt;&gt;"",6-DataEntry_Standard!Q16,0)+IF(DataEntry_Standard!R16&lt;&gt;"",6-DataEntry_Standard!R16,0)+IF(DataEntry_Standard!S16&lt;&gt;"",6-DataEntry_Standard!S16,0)+IF(DataEntry_Standard!T16&lt;&gt;"",DataEntry_Standard!T16,0)+IF(DataEntry_Standard!U16&lt;&gt;"",DataEntry_Standard!U16,0)+IF(DataEntry_Standard!V16&lt;&gt;"",DataEntry_Standard!V16,0)</f>
        <v>0</v>
      </c>
      <c r="E14" s="24">
        <f>IF(DataEntry_Standard!W16&lt;&gt;"",DataEntry_Standard!W16,0)+IF(DataEntry_Standard!X16&lt;&gt;"",6-DataEntry_Standard!X16,0)+IF(DataEntry_Standard!Y16&lt;&gt;"",6-DataEntry_Standard!Y16,0)+IF(DataEntry_Standard!Z16&lt;&gt;"",DataEntry_Standard!Z16,0)+IF(DataEntry_Standard!AA16&lt;&gt;"",6-DataEntry_Standard!AA16,0)+IF(DataEntry_Standard!AB16&lt;&gt;"",DataEntry_Standard!AB16,0)+IF(DataEntry_Standard!AC16&lt;&gt;"",DataEntry_Standard!AC16,0)+IF(DataEntry_Standard!AD16&lt;&gt;"",DataEntry_Standard!AD16,0)</f>
        <v>0</v>
      </c>
      <c r="F14" s="24">
        <f>IF(DataEntry_Standard!AE16&lt;&gt;"",DataEntry_Standard!AE16,0)+IF(DataEntry_Standard!AF16&lt;&gt;"",DataEntry_Standard!AF16,0)+IF(DataEntry_Standard!AG16&lt;&gt;"",6-DataEntry_Standard!AG16,0)+IF(DataEntry_Standard!AH16&lt;&gt;"",DataEntry_Standard!AH16,0)+IF(DataEntry_Standard!AI16&lt;&gt;"",6-DataEntry_Standard!AI16,0)</f>
        <v>0</v>
      </c>
      <c r="G14" s="24">
        <f>IF(DataEntry_Standard!AJ16&lt;&gt;"",DataEntry_Standard!AJ16,0)+IF(DataEntry_Standard!AK16&lt;&gt;"",6-DataEntry_Standard!AK16,0)+IF(DataEntry_Standard!AL16&lt;&gt;"",DataEntry_Standard!AL16,0)</f>
        <v>0</v>
      </c>
      <c r="H14" s="24">
        <f t="shared" si="0"/>
        <v>0</v>
      </c>
      <c r="I14" s="24">
        <f>IF(DataEntry_Standard!D16&gt;=4,1,0)+IF(DataEntry_Standard!G16&gt;=4,1,0)+IF(DataEntry_Standard!I16&gt;=4,1,0)+IF(DataEntry_Standard!J16&gt;=4,1,0)+IF(DataEntry_Standard!K16&gt;=4,1,0)+IF(DataEntry_Standard!L16&gt;=4,1,0)+IF(DataEntry_Standard!M16&gt;=4,1,0)+IF(DataEntry_Standard!N16&gt;=4,1,0)+IF(DataEntry_Standard!O16&gt;=4,1,0)+IF(DataEntry_Standard!P16&gt;=4,1,0)+IF(DataEntry_Standard!T16&gt;=4,1,0)+IF(DataEntry_Standard!U16&gt;=4,1,0)+IF(DataEntry_Standard!V16&gt;=4,1,0)+IF(DataEntry_Standard!W16&gt;=4,1,0)+IF(DataEntry_Standard!Z16&gt;=4,1,0)+IF(DataEntry_Standard!AB16&gt;=4,1,0)+IF(DataEntry_Standard!AC16&gt;=4,1,0)+IF(DataEntry_Standard!AD16&gt;=4,1,0)+IF(DataEntry_Standard!AE16&gt;=4,1,0)+IF(DataEntry_Standard!AF16&gt;=4,1,0)+IF(DataEntry_Standard!AH16&gt;=4,1,0)+IF(DataEntry_Standard!AJ16&gt;=4,1,0)+IF(DataEntry_Standard!AL16&gt;=4,1,0)+IF(DataEntry_Standard!AI16&lt;=2,1,0)+IF(DataEntry_Standard!E16&lt;=2,1,0)+IF(DataEntry_Standard!F16&lt;=2,1,0)+IF(DataEntry_Standard!AK16&lt;=2,1,0)+IF(DataEntry_Standard!H16&lt;=2,1,0)+IF(DataEntry_Standard!Q16&lt;=2,1,0)+IF(DataEntry_Standard!R16&lt;=2,1,0)+IF(DataEntry_Standard!S16&lt;=2,1,0)+IF(DataEntry_Standard!X16&lt;=2,1,0)+IF(DataEntry_Standard!Y16&lt;=2,1,0)+IF(DataEntry_Standard!AA16&lt;=2,1,0)+IF(DataEntry_Standard!AG16&lt;=2,1,0)</f>
        <v>12</v>
      </c>
      <c r="J14" s="24">
        <f>IF(DataEntry_SmartICT!D16&lt;&gt;"",DataEntry_SmartICT!D16,0)+IF(DataEntry_SmartICT!E16&lt;&gt;"",DataEntry_SmartICT!E16,0)+IF(DataEntry_SmartICT!F16&lt;&gt;"",6-DataEntry_SmartICT!F16,0)+IF(DataEntry_SmartICT!G16&lt;&gt;"",6-DataEntry_SmartICT!G16,0)+IF(DataEntry_SmartICT!H16&lt;&gt;"",DataEntry_SmartICT!H16,0)+IF(DataEntry_SmartICT!I16&lt;&gt;"",DataEntry_SmartICT!I16,0)+IF(DataEntry_SmartICT!J16&lt;&gt;"",6-DataEntry_SmartICT!J16,0)+IF(DataEntry_SmartICT!K16&lt;&gt;"",DataEntry_SmartICT!K16,0)+IF(DataEntry_SmartICT!L16&lt;&gt;"",6-DataEntry_SmartICT!L16,0)+IF(DataEntry_SmartICT!M16&lt;&gt;"",DataEntry_SmartICT!M16,0)+IF(DataEntry_SmartICT!N16&lt;&gt;"",6-DataEntry_SmartICT!N16,0)+IF(DataEntry_SmartICT!O16&lt;&gt;"",6-DataEntry_SmartICT!O16,0)+IF(DataEntry_SmartICT!P16&lt;&gt;"",6-DataEntry_SmartICT!P16,0)+IF(DataEntry_SmartICT!Q16&lt;&gt;"",6-DataEntry_SmartICT!Q16,0)+IF(DataEntry_SmartICT!R16&lt;&gt;"",6-DataEntry_SmartICT!R16,0)+IF(DataEntry_SmartICT!S16&lt;&gt;"",6-DataEntry_SmartICT!S16,0)+IF(DataEntry_SmartICT!T16&lt;&gt;"",6-DataEntry_SmartICT!T16,0)+IF(DataEntry_SmartICT!U16&lt;&gt;"",6-DataEntry_SmartICT!U16,0)+IF(DataEntry_SmartICT!V16&lt;&gt;"",DataEntry_SmartICT!V16,0)+IF(DataEntry_SmartICT!W16&lt;&gt;"",DataEntry_SmartICT!W16,0)+IF(DataEntry_SmartICT!X16&lt;&gt;"",DataEntry_SmartICT!X16,0)+IF(DataEntry_SmartICT!Y16&lt;&gt;"",6-DataEntry_SmartICT!Y16,0)+IF(DataEntry_SmartICT!Z16&lt;&gt;"",6-DataEntry_SmartICT!Z16,0)+IF(DataEntry_SmartICT!AA16&lt;&gt;"",DataEntry_SmartICT!AA16,0)+IF(DataEntry_SmartICT!AB16&lt;&gt;"",DataEntry_SmartICT!AB16,0)+IF(DataEntry_SmartICT!AC16&lt;&gt;"",6-DataEntry_SmartICT!AC16,0)+IF(DataEntry_SmartICT!AD16&lt;&gt;"",DataEntry_SmartICT!AD16,0)</f>
        <v>0</v>
      </c>
      <c r="K14" s="24">
        <f t="shared" si="1"/>
        <v>0</v>
      </c>
      <c r="L14" s="25" t="str">
        <f>IF(H14="","",IF(H14/35&lt;=Configurazione!C21,"Trascurabile",IF(H14/35&lt;=Configurazione!C22,"Moderato","Rilevante")))</f>
        <v>Trascurabile</v>
      </c>
      <c r="M14" s="25" t="str">
        <f>IF(J14=0,"N/A",IF(J14/27&lt;=Configurazione!C26,"Trascurabile",IF(J14/27&lt;=Configurazione!C27,"Moderato","Rilevante")))</f>
        <v>N/A</v>
      </c>
    </row>
    <row r="15" spans="1:13" x14ac:dyDescent="0.25">
      <c r="A15" s="18" t="str">
        <f>DataEntry_Standard!A17</f>
        <v>COMP-013</v>
      </c>
      <c r="B15" s="18">
        <f>DataEntry_Standard!C17</f>
        <v>0</v>
      </c>
      <c r="C15" s="24">
        <f>IF(DataEntry_Standard!D17&lt;&gt;"",DataEntry_Standard!D17,0)+IF(DataEntry_Standard!E17&lt;&gt;"",6-DataEntry_Standard!E17,0)+IF(DataEntry_Standard!F17&lt;&gt;"",6-DataEntry_Standard!F17,0)+IF(DataEntry_Standard!G17&lt;&gt;"",DataEntry_Standard!G17,0)+IF(DataEntry_Standard!H17&lt;&gt;"",6-DataEntry_Standard!H17,0)+IF(DataEntry_Standard!I17&lt;&gt;"",DataEntry_Standard!I17,0)+IF(DataEntry_Standard!J17&lt;&gt;"",DataEntry_Standard!J17,0)+IF(DataEntry_Standard!K17&lt;&gt;"",DataEntry_Standard!K17,0)+IF(DataEntry_Standard!L17&lt;&gt;"",DataEntry_Standard!L17,0)+IF(DataEntry_Standard!M17&lt;&gt;"",DataEntry_Standard!M17,0)</f>
        <v>0</v>
      </c>
      <c r="D15" s="24">
        <f>IF(DataEntry_Standard!N17&lt;&gt;"",DataEntry_Standard!N17,0)+IF(DataEntry_Standard!O17&lt;&gt;"",DataEntry_Standard!O17,0)+IF(DataEntry_Standard!P17&lt;&gt;"",DataEntry_Standard!P17,0)+IF(DataEntry_Standard!Q17&lt;&gt;"",6-DataEntry_Standard!Q17,0)+IF(DataEntry_Standard!R17&lt;&gt;"",6-DataEntry_Standard!R17,0)+IF(DataEntry_Standard!S17&lt;&gt;"",6-DataEntry_Standard!S17,0)+IF(DataEntry_Standard!T17&lt;&gt;"",DataEntry_Standard!T17,0)+IF(DataEntry_Standard!U17&lt;&gt;"",DataEntry_Standard!U17,0)+IF(DataEntry_Standard!V17&lt;&gt;"",DataEntry_Standard!V17,0)</f>
        <v>0</v>
      </c>
      <c r="E15" s="24">
        <f>IF(DataEntry_Standard!W17&lt;&gt;"",DataEntry_Standard!W17,0)+IF(DataEntry_Standard!X17&lt;&gt;"",6-DataEntry_Standard!X17,0)+IF(DataEntry_Standard!Y17&lt;&gt;"",6-DataEntry_Standard!Y17,0)+IF(DataEntry_Standard!Z17&lt;&gt;"",DataEntry_Standard!Z17,0)+IF(DataEntry_Standard!AA17&lt;&gt;"",6-DataEntry_Standard!AA17,0)+IF(DataEntry_Standard!AB17&lt;&gt;"",DataEntry_Standard!AB17,0)+IF(DataEntry_Standard!AC17&lt;&gt;"",DataEntry_Standard!AC17,0)+IF(DataEntry_Standard!AD17&lt;&gt;"",DataEntry_Standard!AD17,0)</f>
        <v>0</v>
      </c>
      <c r="F15" s="24">
        <f>IF(DataEntry_Standard!AE17&lt;&gt;"",DataEntry_Standard!AE17,0)+IF(DataEntry_Standard!AF17&lt;&gt;"",DataEntry_Standard!AF17,0)+IF(DataEntry_Standard!AG17&lt;&gt;"",6-DataEntry_Standard!AG17,0)+IF(DataEntry_Standard!AH17&lt;&gt;"",DataEntry_Standard!AH17,0)+IF(DataEntry_Standard!AI17&lt;&gt;"",6-DataEntry_Standard!AI17,0)</f>
        <v>0</v>
      </c>
      <c r="G15" s="24">
        <f>IF(DataEntry_Standard!AJ17&lt;&gt;"",DataEntry_Standard!AJ17,0)+IF(DataEntry_Standard!AK17&lt;&gt;"",6-DataEntry_Standard!AK17,0)+IF(DataEntry_Standard!AL17&lt;&gt;"",DataEntry_Standard!AL17,0)</f>
        <v>0</v>
      </c>
      <c r="H15" s="24">
        <f t="shared" si="0"/>
        <v>0</v>
      </c>
      <c r="I15" s="24">
        <f>IF(DataEntry_Standard!D17&gt;=4,1,0)+IF(DataEntry_Standard!G17&gt;=4,1,0)+IF(DataEntry_Standard!I17&gt;=4,1,0)+IF(DataEntry_Standard!J17&gt;=4,1,0)+IF(DataEntry_Standard!K17&gt;=4,1,0)+IF(DataEntry_Standard!L17&gt;=4,1,0)+IF(DataEntry_Standard!M17&gt;=4,1,0)+IF(DataEntry_Standard!N17&gt;=4,1,0)+IF(DataEntry_Standard!O17&gt;=4,1,0)+IF(DataEntry_Standard!P17&gt;=4,1,0)+IF(DataEntry_Standard!T17&gt;=4,1,0)+IF(DataEntry_Standard!U17&gt;=4,1,0)+IF(DataEntry_Standard!V17&gt;=4,1,0)+IF(DataEntry_Standard!W17&gt;=4,1,0)+IF(DataEntry_Standard!Z17&gt;=4,1,0)+IF(DataEntry_Standard!AB17&gt;=4,1,0)+IF(DataEntry_Standard!AC17&gt;=4,1,0)+IF(DataEntry_Standard!AD17&gt;=4,1,0)+IF(DataEntry_Standard!AE17&gt;=4,1,0)+IF(DataEntry_Standard!AF17&gt;=4,1,0)+IF(DataEntry_Standard!AH17&gt;=4,1,0)+IF(DataEntry_Standard!AJ17&gt;=4,1,0)+IF(DataEntry_Standard!AL17&gt;=4,1,0)+IF(DataEntry_Standard!AI17&lt;=2,1,0)+IF(DataEntry_Standard!E17&lt;=2,1,0)+IF(DataEntry_Standard!F17&lt;=2,1,0)+IF(DataEntry_Standard!AK17&lt;=2,1,0)+IF(DataEntry_Standard!H17&lt;=2,1,0)+IF(DataEntry_Standard!Q17&lt;=2,1,0)+IF(DataEntry_Standard!R17&lt;=2,1,0)+IF(DataEntry_Standard!S17&lt;=2,1,0)+IF(DataEntry_Standard!X17&lt;=2,1,0)+IF(DataEntry_Standard!Y17&lt;=2,1,0)+IF(DataEntry_Standard!AA17&lt;=2,1,0)+IF(DataEntry_Standard!AG17&lt;=2,1,0)</f>
        <v>12</v>
      </c>
      <c r="J15" s="24">
        <f>IF(DataEntry_SmartICT!D17&lt;&gt;"",DataEntry_SmartICT!D17,0)+IF(DataEntry_SmartICT!E17&lt;&gt;"",DataEntry_SmartICT!E17,0)+IF(DataEntry_SmartICT!F17&lt;&gt;"",6-DataEntry_SmartICT!F17,0)+IF(DataEntry_SmartICT!G17&lt;&gt;"",6-DataEntry_SmartICT!G17,0)+IF(DataEntry_SmartICT!H17&lt;&gt;"",DataEntry_SmartICT!H17,0)+IF(DataEntry_SmartICT!I17&lt;&gt;"",DataEntry_SmartICT!I17,0)+IF(DataEntry_SmartICT!J17&lt;&gt;"",6-DataEntry_SmartICT!J17,0)+IF(DataEntry_SmartICT!K17&lt;&gt;"",DataEntry_SmartICT!K17,0)+IF(DataEntry_SmartICT!L17&lt;&gt;"",6-DataEntry_SmartICT!L17,0)+IF(DataEntry_SmartICT!M17&lt;&gt;"",DataEntry_SmartICT!M17,0)+IF(DataEntry_SmartICT!N17&lt;&gt;"",6-DataEntry_SmartICT!N17,0)+IF(DataEntry_SmartICT!O17&lt;&gt;"",6-DataEntry_SmartICT!O17,0)+IF(DataEntry_SmartICT!P17&lt;&gt;"",6-DataEntry_SmartICT!P17,0)+IF(DataEntry_SmartICT!Q17&lt;&gt;"",6-DataEntry_SmartICT!Q17,0)+IF(DataEntry_SmartICT!R17&lt;&gt;"",6-DataEntry_SmartICT!R17,0)+IF(DataEntry_SmartICT!S17&lt;&gt;"",6-DataEntry_SmartICT!S17,0)+IF(DataEntry_SmartICT!T17&lt;&gt;"",6-DataEntry_SmartICT!T17,0)+IF(DataEntry_SmartICT!U17&lt;&gt;"",6-DataEntry_SmartICT!U17,0)+IF(DataEntry_SmartICT!V17&lt;&gt;"",DataEntry_SmartICT!V17,0)+IF(DataEntry_SmartICT!W17&lt;&gt;"",DataEntry_SmartICT!W17,0)+IF(DataEntry_SmartICT!X17&lt;&gt;"",DataEntry_SmartICT!X17,0)+IF(DataEntry_SmartICT!Y17&lt;&gt;"",6-DataEntry_SmartICT!Y17,0)+IF(DataEntry_SmartICT!Z17&lt;&gt;"",6-DataEntry_SmartICT!Z17,0)+IF(DataEntry_SmartICT!AA17&lt;&gt;"",DataEntry_SmartICT!AA17,0)+IF(DataEntry_SmartICT!AB17&lt;&gt;"",DataEntry_SmartICT!AB17,0)+IF(DataEntry_SmartICT!AC17&lt;&gt;"",6-DataEntry_SmartICT!AC17,0)+IF(DataEntry_SmartICT!AD17&lt;&gt;"",DataEntry_SmartICT!AD17,0)</f>
        <v>0</v>
      </c>
      <c r="K15" s="24">
        <f t="shared" si="1"/>
        <v>0</v>
      </c>
      <c r="L15" s="25" t="str">
        <f>IF(H15="","",IF(H15/35&lt;=Configurazione!C21,"Trascurabile",IF(H15/35&lt;=Configurazione!C22,"Moderato","Rilevante")))</f>
        <v>Trascurabile</v>
      </c>
      <c r="M15" s="25" t="str">
        <f>IF(J15=0,"N/A",IF(J15/27&lt;=Configurazione!C26,"Trascurabile",IF(J15/27&lt;=Configurazione!C27,"Moderato","Rilevante")))</f>
        <v>N/A</v>
      </c>
    </row>
    <row r="16" spans="1:13" x14ac:dyDescent="0.25">
      <c r="A16" s="18" t="str">
        <f>DataEntry_Standard!A18</f>
        <v>COMP-014</v>
      </c>
      <c r="B16" s="18">
        <f>DataEntry_Standard!C18</f>
        <v>0</v>
      </c>
      <c r="C16" s="24">
        <f>IF(DataEntry_Standard!D18&lt;&gt;"",DataEntry_Standard!D18,0)+IF(DataEntry_Standard!E18&lt;&gt;"",6-DataEntry_Standard!E18,0)+IF(DataEntry_Standard!F18&lt;&gt;"",6-DataEntry_Standard!F18,0)+IF(DataEntry_Standard!G18&lt;&gt;"",DataEntry_Standard!G18,0)+IF(DataEntry_Standard!H18&lt;&gt;"",6-DataEntry_Standard!H18,0)+IF(DataEntry_Standard!I18&lt;&gt;"",DataEntry_Standard!I18,0)+IF(DataEntry_Standard!J18&lt;&gt;"",DataEntry_Standard!J18,0)+IF(DataEntry_Standard!K18&lt;&gt;"",DataEntry_Standard!K18,0)+IF(DataEntry_Standard!L18&lt;&gt;"",DataEntry_Standard!L18,0)+IF(DataEntry_Standard!M18&lt;&gt;"",DataEntry_Standard!M18,0)</f>
        <v>0</v>
      </c>
      <c r="D16" s="24">
        <f>IF(DataEntry_Standard!N18&lt;&gt;"",DataEntry_Standard!N18,0)+IF(DataEntry_Standard!O18&lt;&gt;"",DataEntry_Standard!O18,0)+IF(DataEntry_Standard!P18&lt;&gt;"",DataEntry_Standard!P18,0)+IF(DataEntry_Standard!Q18&lt;&gt;"",6-DataEntry_Standard!Q18,0)+IF(DataEntry_Standard!R18&lt;&gt;"",6-DataEntry_Standard!R18,0)+IF(DataEntry_Standard!S18&lt;&gt;"",6-DataEntry_Standard!S18,0)+IF(DataEntry_Standard!T18&lt;&gt;"",DataEntry_Standard!T18,0)+IF(DataEntry_Standard!U18&lt;&gt;"",DataEntry_Standard!U18,0)+IF(DataEntry_Standard!V18&lt;&gt;"",DataEntry_Standard!V18,0)</f>
        <v>0</v>
      </c>
      <c r="E16" s="24">
        <f>IF(DataEntry_Standard!W18&lt;&gt;"",DataEntry_Standard!W18,0)+IF(DataEntry_Standard!X18&lt;&gt;"",6-DataEntry_Standard!X18,0)+IF(DataEntry_Standard!Y18&lt;&gt;"",6-DataEntry_Standard!Y18,0)+IF(DataEntry_Standard!Z18&lt;&gt;"",DataEntry_Standard!Z18,0)+IF(DataEntry_Standard!AA18&lt;&gt;"",6-DataEntry_Standard!AA18,0)+IF(DataEntry_Standard!AB18&lt;&gt;"",DataEntry_Standard!AB18,0)+IF(DataEntry_Standard!AC18&lt;&gt;"",DataEntry_Standard!AC18,0)+IF(DataEntry_Standard!AD18&lt;&gt;"",DataEntry_Standard!AD18,0)</f>
        <v>0</v>
      </c>
      <c r="F16" s="24">
        <f>IF(DataEntry_Standard!AE18&lt;&gt;"",DataEntry_Standard!AE18,0)+IF(DataEntry_Standard!AF18&lt;&gt;"",DataEntry_Standard!AF18,0)+IF(DataEntry_Standard!AG18&lt;&gt;"",6-DataEntry_Standard!AG18,0)+IF(DataEntry_Standard!AH18&lt;&gt;"",DataEntry_Standard!AH18,0)+IF(DataEntry_Standard!AI18&lt;&gt;"",6-DataEntry_Standard!AI18,0)</f>
        <v>0</v>
      </c>
      <c r="G16" s="24">
        <f>IF(DataEntry_Standard!AJ18&lt;&gt;"",DataEntry_Standard!AJ18,0)+IF(DataEntry_Standard!AK18&lt;&gt;"",6-DataEntry_Standard!AK18,0)+IF(DataEntry_Standard!AL18&lt;&gt;"",DataEntry_Standard!AL18,0)</f>
        <v>0</v>
      </c>
      <c r="H16" s="24">
        <f t="shared" si="0"/>
        <v>0</v>
      </c>
      <c r="I16" s="24">
        <f>IF(DataEntry_Standard!D18&gt;=4,1,0)+IF(DataEntry_Standard!G18&gt;=4,1,0)+IF(DataEntry_Standard!I18&gt;=4,1,0)+IF(DataEntry_Standard!J18&gt;=4,1,0)+IF(DataEntry_Standard!K18&gt;=4,1,0)+IF(DataEntry_Standard!L18&gt;=4,1,0)+IF(DataEntry_Standard!M18&gt;=4,1,0)+IF(DataEntry_Standard!N18&gt;=4,1,0)+IF(DataEntry_Standard!O18&gt;=4,1,0)+IF(DataEntry_Standard!P18&gt;=4,1,0)+IF(DataEntry_Standard!T18&gt;=4,1,0)+IF(DataEntry_Standard!U18&gt;=4,1,0)+IF(DataEntry_Standard!V18&gt;=4,1,0)+IF(DataEntry_Standard!W18&gt;=4,1,0)+IF(DataEntry_Standard!Z18&gt;=4,1,0)+IF(DataEntry_Standard!AB18&gt;=4,1,0)+IF(DataEntry_Standard!AC18&gt;=4,1,0)+IF(DataEntry_Standard!AD18&gt;=4,1,0)+IF(DataEntry_Standard!AE18&gt;=4,1,0)+IF(DataEntry_Standard!AF18&gt;=4,1,0)+IF(DataEntry_Standard!AH18&gt;=4,1,0)+IF(DataEntry_Standard!AJ18&gt;=4,1,0)+IF(DataEntry_Standard!AL18&gt;=4,1,0)+IF(DataEntry_Standard!AI18&lt;=2,1,0)+IF(DataEntry_Standard!E18&lt;=2,1,0)+IF(DataEntry_Standard!F18&lt;=2,1,0)+IF(DataEntry_Standard!AK18&lt;=2,1,0)+IF(DataEntry_Standard!H18&lt;=2,1,0)+IF(DataEntry_Standard!Q18&lt;=2,1,0)+IF(DataEntry_Standard!R18&lt;=2,1,0)+IF(DataEntry_Standard!S18&lt;=2,1,0)+IF(DataEntry_Standard!X18&lt;=2,1,0)+IF(DataEntry_Standard!Y18&lt;=2,1,0)+IF(DataEntry_Standard!AA18&lt;=2,1,0)+IF(DataEntry_Standard!AG18&lt;=2,1,0)</f>
        <v>12</v>
      </c>
      <c r="J16" s="24">
        <f>IF(DataEntry_SmartICT!D18&lt;&gt;"",DataEntry_SmartICT!D18,0)+IF(DataEntry_SmartICT!E18&lt;&gt;"",DataEntry_SmartICT!E18,0)+IF(DataEntry_SmartICT!F18&lt;&gt;"",6-DataEntry_SmartICT!F18,0)+IF(DataEntry_SmartICT!G18&lt;&gt;"",6-DataEntry_SmartICT!G18,0)+IF(DataEntry_SmartICT!H18&lt;&gt;"",DataEntry_SmartICT!H18,0)+IF(DataEntry_SmartICT!I18&lt;&gt;"",DataEntry_SmartICT!I18,0)+IF(DataEntry_SmartICT!J18&lt;&gt;"",6-DataEntry_SmartICT!J18,0)+IF(DataEntry_SmartICT!K18&lt;&gt;"",DataEntry_SmartICT!K18,0)+IF(DataEntry_SmartICT!L18&lt;&gt;"",6-DataEntry_SmartICT!L18,0)+IF(DataEntry_SmartICT!M18&lt;&gt;"",DataEntry_SmartICT!M18,0)+IF(DataEntry_SmartICT!N18&lt;&gt;"",6-DataEntry_SmartICT!N18,0)+IF(DataEntry_SmartICT!O18&lt;&gt;"",6-DataEntry_SmartICT!O18,0)+IF(DataEntry_SmartICT!P18&lt;&gt;"",6-DataEntry_SmartICT!P18,0)+IF(DataEntry_SmartICT!Q18&lt;&gt;"",6-DataEntry_SmartICT!Q18,0)+IF(DataEntry_SmartICT!R18&lt;&gt;"",6-DataEntry_SmartICT!R18,0)+IF(DataEntry_SmartICT!S18&lt;&gt;"",6-DataEntry_SmartICT!S18,0)+IF(DataEntry_SmartICT!T18&lt;&gt;"",6-DataEntry_SmartICT!T18,0)+IF(DataEntry_SmartICT!U18&lt;&gt;"",6-DataEntry_SmartICT!U18,0)+IF(DataEntry_SmartICT!V18&lt;&gt;"",DataEntry_SmartICT!V18,0)+IF(DataEntry_SmartICT!W18&lt;&gt;"",DataEntry_SmartICT!W18,0)+IF(DataEntry_SmartICT!X18&lt;&gt;"",DataEntry_SmartICT!X18,0)+IF(DataEntry_SmartICT!Y18&lt;&gt;"",6-DataEntry_SmartICT!Y18,0)+IF(DataEntry_SmartICT!Z18&lt;&gt;"",6-DataEntry_SmartICT!Z18,0)+IF(DataEntry_SmartICT!AA18&lt;&gt;"",DataEntry_SmartICT!AA18,0)+IF(DataEntry_SmartICT!AB18&lt;&gt;"",DataEntry_SmartICT!AB18,0)+IF(DataEntry_SmartICT!AC18&lt;&gt;"",6-DataEntry_SmartICT!AC18,0)+IF(DataEntry_SmartICT!AD18&lt;&gt;"",DataEntry_SmartICT!AD18,0)</f>
        <v>0</v>
      </c>
      <c r="K16" s="24">
        <f t="shared" si="1"/>
        <v>0</v>
      </c>
      <c r="L16" s="25" t="str">
        <f>IF(H16="","",IF(H16/35&lt;=Configurazione!C21,"Trascurabile",IF(H16/35&lt;=Configurazione!C22,"Moderato","Rilevante")))</f>
        <v>Trascurabile</v>
      </c>
      <c r="M16" s="25" t="str">
        <f>IF(J16=0,"N/A",IF(J16/27&lt;=Configurazione!C26,"Trascurabile",IF(J16/27&lt;=Configurazione!C27,"Moderato","Rilevante")))</f>
        <v>N/A</v>
      </c>
    </row>
    <row r="17" spans="1:13" x14ac:dyDescent="0.25">
      <c r="A17" s="18" t="str">
        <f>DataEntry_Standard!A19</f>
        <v>COMP-015</v>
      </c>
      <c r="B17" s="18">
        <f>DataEntry_Standard!C19</f>
        <v>0</v>
      </c>
      <c r="C17" s="24">
        <f>IF(DataEntry_Standard!D19&lt;&gt;"",DataEntry_Standard!D19,0)+IF(DataEntry_Standard!E19&lt;&gt;"",6-DataEntry_Standard!E19,0)+IF(DataEntry_Standard!F19&lt;&gt;"",6-DataEntry_Standard!F19,0)+IF(DataEntry_Standard!G19&lt;&gt;"",DataEntry_Standard!G19,0)+IF(DataEntry_Standard!H19&lt;&gt;"",6-DataEntry_Standard!H19,0)+IF(DataEntry_Standard!I19&lt;&gt;"",DataEntry_Standard!I19,0)+IF(DataEntry_Standard!J19&lt;&gt;"",DataEntry_Standard!J19,0)+IF(DataEntry_Standard!K19&lt;&gt;"",DataEntry_Standard!K19,0)+IF(DataEntry_Standard!L19&lt;&gt;"",DataEntry_Standard!L19,0)+IF(DataEntry_Standard!M19&lt;&gt;"",DataEntry_Standard!M19,0)</f>
        <v>0</v>
      </c>
      <c r="D17" s="24">
        <f>IF(DataEntry_Standard!N19&lt;&gt;"",DataEntry_Standard!N19,0)+IF(DataEntry_Standard!O19&lt;&gt;"",DataEntry_Standard!O19,0)+IF(DataEntry_Standard!P19&lt;&gt;"",DataEntry_Standard!P19,0)+IF(DataEntry_Standard!Q19&lt;&gt;"",6-DataEntry_Standard!Q19,0)+IF(DataEntry_Standard!R19&lt;&gt;"",6-DataEntry_Standard!R19,0)+IF(DataEntry_Standard!S19&lt;&gt;"",6-DataEntry_Standard!S19,0)+IF(DataEntry_Standard!T19&lt;&gt;"",DataEntry_Standard!T19,0)+IF(DataEntry_Standard!U19&lt;&gt;"",DataEntry_Standard!U19,0)+IF(DataEntry_Standard!V19&lt;&gt;"",DataEntry_Standard!V19,0)</f>
        <v>0</v>
      </c>
      <c r="E17" s="24">
        <f>IF(DataEntry_Standard!W19&lt;&gt;"",DataEntry_Standard!W19,0)+IF(DataEntry_Standard!X19&lt;&gt;"",6-DataEntry_Standard!X19,0)+IF(DataEntry_Standard!Y19&lt;&gt;"",6-DataEntry_Standard!Y19,0)+IF(DataEntry_Standard!Z19&lt;&gt;"",DataEntry_Standard!Z19,0)+IF(DataEntry_Standard!AA19&lt;&gt;"",6-DataEntry_Standard!AA19,0)+IF(DataEntry_Standard!AB19&lt;&gt;"",DataEntry_Standard!AB19,0)+IF(DataEntry_Standard!AC19&lt;&gt;"",DataEntry_Standard!AC19,0)+IF(DataEntry_Standard!AD19&lt;&gt;"",DataEntry_Standard!AD19,0)</f>
        <v>0</v>
      </c>
      <c r="F17" s="24">
        <f>IF(DataEntry_Standard!AE19&lt;&gt;"",DataEntry_Standard!AE19,0)+IF(DataEntry_Standard!AF19&lt;&gt;"",DataEntry_Standard!AF19,0)+IF(DataEntry_Standard!AG19&lt;&gt;"",6-DataEntry_Standard!AG19,0)+IF(DataEntry_Standard!AH19&lt;&gt;"",DataEntry_Standard!AH19,0)+IF(DataEntry_Standard!AI19&lt;&gt;"",6-DataEntry_Standard!AI19,0)</f>
        <v>0</v>
      </c>
      <c r="G17" s="24">
        <f>IF(DataEntry_Standard!AJ19&lt;&gt;"",DataEntry_Standard!AJ19,0)+IF(DataEntry_Standard!AK19&lt;&gt;"",6-DataEntry_Standard!AK19,0)+IF(DataEntry_Standard!AL19&lt;&gt;"",DataEntry_Standard!AL19,0)</f>
        <v>0</v>
      </c>
      <c r="H17" s="24">
        <f t="shared" si="0"/>
        <v>0</v>
      </c>
      <c r="I17" s="24">
        <f>IF(DataEntry_Standard!D19&gt;=4,1,0)+IF(DataEntry_Standard!G19&gt;=4,1,0)+IF(DataEntry_Standard!I19&gt;=4,1,0)+IF(DataEntry_Standard!J19&gt;=4,1,0)+IF(DataEntry_Standard!K19&gt;=4,1,0)+IF(DataEntry_Standard!L19&gt;=4,1,0)+IF(DataEntry_Standard!M19&gt;=4,1,0)+IF(DataEntry_Standard!N19&gt;=4,1,0)+IF(DataEntry_Standard!O19&gt;=4,1,0)+IF(DataEntry_Standard!P19&gt;=4,1,0)+IF(DataEntry_Standard!T19&gt;=4,1,0)+IF(DataEntry_Standard!U19&gt;=4,1,0)+IF(DataEntry_Standard!V19&gt;=4,1,0)+IF(DataEntry_Standard!W19&gt;=4,1,0)+IF(DataEntry_Standard!Z19&gt;=4,1,0)+IF(DataEntry_Standard!AB19&gt;=4,1,0)+IF(DataEntry_Standard!AC19&gt;=4,1,0)+IF(DataEntry_Standard!AD19&gt;=4,1,0)+IF(DataEntry_Standard!AE19&gt;=4,1,0)+IF(DataEntry_Standard!AF19&gt;=4,1,0)+IF(DataEntry_Standard!AH19&gt;=4,1,0)+IF(DataEntry_Standard!AJ19&gt;=4,1,0)+IF(DataEntry_Standard!AL19&gt;=4,1,0)+IF(DataEntry_Standard!AI19&lt;=2,1,0)+IF(DataEntry_Standard!E19&lt;=2,1,0)+IF(DataEntry_Standard!F19&lt;=2,1,0)+IF(DataEntry_Standard!AK19&lt;=2,1,0)+IF(DataEntry_Standard!H19&lt;=2,1,0)+IF(DataEntry_Standard!Q19&lt;=2,1,0)+IF(DataEntry_Standard!R19&lt;=2,1,0)+IF(DataEntry_Standard!S19&lt;=2,1,0)+IF(DataEntry_Standard!X19&lt;=2,1,0)+IF(DataEntry_Standard!Y19&lt;=2,1,0)+IF(DataEntry_Standard!AA19&lt;=2,1,0)+IF(DataEntry_Standard!AG19&lt;=2,1,0)</f>
        <v>12</v>
      </c>
      <c r="J17" s="24">
        <f>IF(DataEntry_SmartICT!D19&lt;&gt;"",DataEntry_SmartICT!D19,0)+IF(DataEntry_SmartICT!E19&lt;&gt;"",DataEntry_SmartICT!E19,0)+IF(DataEntry_SmartICT!F19&lt;&gt;"",6-DataEntry_SmartICT!F19,0)+IF(DataEntry_SmartICT!G19&lt;&gt;"",6-DataEntry_SmartICT!G19,0)+IF(DataEntry_SmartICT!H19&lt;&gt;"",DataEntry_SmartICT!H19,0)+IF(DataEntry_SmartICT!I19&lt;&gt;"",DataEntry_SmartICT!I19,0)+IF(DataEntry_SmartICT!J19&lt;&gt;"",6-DataEntry_SmartICT!J19,0)+IF(DataEntry_SmartICT!K19&lt;&gt;"",DataEntry_SmartICT!K19,0)+IF(DataEntry_SmartICT!L19&lt;&gt;"",6-DataEntry_SmartICT!L19,0)+IF(DataEntry_SmartICT!M19&lt;&gt;"",DataEntry_SmartICT!M19,0)+IF(DataEntry_SmartICT!N19&lt;&gt;"",6-DataEntry_SmartICT!N19,0)+IF(DataEntry_SmartICT!O19&lt;&gt;"",6-DataEntry_SmartICT!O19,0)+IF(DataEntry_SmartICT!P19&lt;&gt;"",6-DataEntry_SmartICT!P19,0)+IF(DataEntry_SmartICT!Q19&lt;&gt;"",6-DataEntry_SmartICT!Q19,0)+IF(DataEntry_SmartICT!R19&lt;&gt;"",6-DataEntry_SmartICT!R19,0)+IF(DataEntry_SmartICT!S19&lt;&gt;"",6-DataEntry_SmartICT!S19,0)+IF(DataEntry_SmartICT!T19&lt;&gt;"",6-DataEntry_SmartICT!T19,0)+IF(DataEntry_SmartICT!U19&lt;&gt;"",6-DataEntry_SmartICT!U19,0)+IF(DataEntry_SmartICT!V19&lt;&gt;"",DataEntry_SmartICT!V19,0)+IF(DataEntry_SmartICT!W19&lt;&gt;"",DataEntry_SmartICT!W19,0)+IF(DataEntry_SmartICT!X19&lt;&gt;"",DataEntry_SmartICT!X19,0)+IF(DataEntry_SmartICT!Y19&lt;&gt;"",6-DataEntry_SmartICT!Y19,0)+IF(DataEntry_SmartICT!Z19&lt;&gt;"",6-DataEntry_SmartICT!Z19,0)+IF(DataEntry_SmartICT!AA19&lt;&gt;"",DataEntry_SmartICT!AA19,0)+IF(DataEntry_SmartICT!AB19&lt;&gt;"",DataEntry_SmartICT!AB19,0)+IF(DataEntry_SmartICT!AC19&lt;&gt;"",6-DataEntry_SmartICT!AC19,0)+IF(DataEntry_SmartICT!AD19&lt;&gt;"",DataEntry_SmartICT!AD19,0)</f>
        <v>0</v>
      </c>
      <c r="K17" s="24">
        <f t="shared" si="1"/>
        <v>0</v>
      </c>
      <c r="L17" s="25" t="str">
        <f>IF(H17="","",IF(H17/35&lt;=Configurazione!C21,"Trascurabile",IF(H17/35&lt;=Configurazione!C22,"Moderato","Rilevante")))</f>
        <v>Trascurabile</v>
      </c>
      <c r="M17" s="25" t="str">
        <f>IF(J17=0,"N/A",IF(J17/27&lt;=Configurazione!C26,"Trascurabile",IF(J17/27&lt;=Configurazione!C27,"Moderato","Rilevante")))</f>
        <v>N/A</v>
      </c>
    </row>
    <row r="18" spans="1:13" x14ac:dyDescent="0.25">
      <c r="A18" s="18" t="str">
        <f>DataEntry_Standard!A20</f>
        <v>COMP-016</v>
      </c>
      <c r="B18" s="18">
        <f>DataEntry_Standard!C20</f>
        <v>0</v>
      </c>
      <c r="C18" s="24">
        <f>IF(DataEntry_Standard!D20&lt;&gt;"",DataEntry_Standard!D20,0)+IF(DataEntry_Standard!E20&lt;&gt;"",6-DataEntry_Standard!E20,0)+IF(DataEntry_Standard!F20&lt;&gt;"",6-DataEntry_Standard!F20,0)+IF(DataEntry_Standard!G20&lt;&gt;"",DataEntry_Standard!G20,0)+IF(DataEntry_Standard!H20&lt;&gt;"",6-DataEntry_Standard!H20,0)+IF(DataEntry_Standard!I20&lt;&gt;"",DataEntry_Standard!I20,0)+IF(DataEntry_Standard!J20&lt;&gt;"",DataEntry_Standard!J20,0)+IF(DataEntry_Standard!K20&lt;&gt;"",DataEntry_Standard!K20,0)+IF(DataEntry_Standard!L20&lt;&gt;"",DataEntry_Standard!L20,0)+IF(DataEntry_Standard!M20&lt;&gt;"",DataEntry_Standard!M20,0)</f>
        <v>0</v>
      </c>
      <c r="D18" s="24">
        <f>IF(DataEntry_Standard!N20&lt;&gt;"",DataEntry_Standard!N20,0)+IF(DataEntry_Standard!O20&lt;&gt;"",DataEntry_Standard!O20,0)+IF(DataEntry_Standard!P20&lt;&gt;"",DataEntry_Standard!P20,0)+IF(DataEntry_Standard!Q20&lt;&gt;"",6-DataEntry_Standard!Q20,0)+IF(DataEntry_Standard!R20&lt;&gt;"",6-DataEntry_Standard!R20,0)+IF(DataEntry_Standard!S20&lt;&gt;"",6-DataEntry_Standard!S20,0)+IF(DataEntry_Standard!T20&lt;&gt;"",DataEntry_Standard!T20,0)+IF(DataEntry_Standard!U20&lt;&gt;"",DataEntry_Standard!U20,0)+IF(DataEntry_Standard!V20&lt;&gt;"",DataEntry_Standard!V20,0)</f>
        <v>0</v>
      </c>
      <c r="E18" s="24">
        <f>IF(DataEntry_Standard!W20&lt;&gt;"",DataEntry_Standard!W20,0)+IF(DataEntry_Standard!X20&lt;&gt;"",6-DataEntry_Standard!X20,0)+IF(DataEntry_Standard!Y20&lt;&gt;"",6-DataEntry_Standard!Y20,0)+IF(DataEntry_Standard!Z20&lt;&gt;"",DataEntry_Standard!Z20,0)+IF(DataEntry_Standard!AA20&lt;&gt;"",6-DataEntry_Standard!AA20,0)+IF(DataEntry_Standard!AB20&lt;&gt;"",DataEntry_Standard!AB20,0)+IF(DataEntry_Standard!AC20&lt;&gt;"",DataEntry_Standard!AC20,0)+IF(DataEntry_Standard!AD20&lt;&gt;"",DataEntry_Standard!AD20,0)</f>
        <v>0</v>
      </c>
      <c r="F18" s="24">
        <f>IF(DataEntry_Standard!AE20&lt;&gt;"",DataEntry_Standard!AE20,0)+IF(DataEntry_Standard!AF20&lt;&gt;"",DataEntry_Standard!AF20,0)+IF(DataEntry_Standard!AG20&lt;&gt;"",6-DataEntry_Standard!AG20,0)+IF(DataEntry_Standard!AH20&lt;&gt;"",DataEntry_Standard!AH20,0)+IF(DataEntry_Standard!AI20&lt;&gt;"",6-DataEntry_Standard!AI20,0)</f>
        <v>0</v>
      </c>
      <c r="G18" s="24">
        <f>IF(DataEntry_Standard!AJ20&lt;&gt;"",DataEntry_Standard!AJ20,0)+IF(DataEntry_Standard!AK20&lt;&gt;"",6-DataEntry_Standard!AK20,0)+IF(DataEntry_Standard!AL20&lt;&gt;"",DataEntry_Standard!AL20,0)</f>
        <v>0</v>
      </c>
      <c r="H18" s="24">
        <f t="shared" si="0"/>
        <v>0</v>
      </c>
      <c r="I18" s="24">
        <f>IF(DataEntry_Standard!D20&gt;=4,1,0)+IF(DataEntry_Standard!G20&gt;=4,1,0)+IF(DataEntry_Standard!I20&gt;=4,1,0)+IF(DataEntry_Standard!J20&gt;=4,1,0)+IF(DataEntry_Standard!K20&gt;=4,1,0)+IF(DataEntry_Standard!L20&gt;=4,1,0)+IF(DataEntry_Standard!M20&gt;=4,1,0)+IF(DataEntry_Standard!N20&gt;=4,1,0)+IF(DataEntry_Standard!O20&gt;=4,1,0)+IF(DataEntry_Standard!P20&gt;=4,1,0)+IF(DataEntry_Standard!T20&gt;=4,1,0)+IF(DataEntry_Standard!U20&gt;=4,1,0)+IF(DataEntry_Standard!V20&gt;=4,1,0)+IF(DataEntry_Standard!W20&gt;=4,1,0)+IF(DataEntry_Standard!Z20&gt;=4,1,0)+IF(DataEntry_Standard!AB20&gt;=4,1,0)+IF(DataEntry_Standard!AC20&gt;=4,1,0)+IF(DataEntry_Standard!AD20&gt;=4,1,0)+IF(DataEntry_Standard!AE20&gt;=4,1,0)+IF(DataEntry_Standard!AF20&gt;=4,1,0)+IF(DataEntry_Standard!AH20&gt;=4,1,0)+IF(DataEntry_Standard!AJ20&gt;=4,1,0)+IF(DataEntry_Standard!AL20&gt;=4,1,0)+IF(DataEntry_Standard!AI20&lt;=2,1,0)+IF(DataEntry_Standard!E20&lt;=2,1,0)+IF(DataEntry_Standard!F20&lt;=2,1,0)+IF(DataEntry_Standard!AK20&lt;=2,1,0)+IF(DataEntry_Standard!H20&lt;=2,1,0)+IF(DataEntry_Standard!Q20&lt;=2,1,0)+IF(DataEntry_Standard!R20&lt;=2,1,0)+IF(DataEntry_Standard!S20&lt;=2,1,0)+IF(DataEntry_Standard!X20&lt;=2,1,0)+IF(DataEntry_Standard!Y20&lt;=2,1,0)+IF(DataEntry_Standard!AA20&lt;=2,1,0)+IF(DataEntry_Standard!AG20&lt;=2,1,0)</f>
        <v>12</v>
      </c>
      <c r="J18" s="24">
        <f>IF(DataEntry_SmartICT!D20&lt;&gt;"",DataEntry_SmartICT!D20,0)+IF(DataEntry_SmartICT!E20&lt;&gt;"",DataEntry_SmartICT!E20,0)+IF(DataEntry_SmartICT!F20&lt;&gt;"",6-DataEntry_SmartICT!F20,0)+IF(DataEntry_SmartICT!G20&lt;&gt;"",6-DataEntry_SmartICT!G20,0)+IF(DataEntry_SmartICT!H20&lt;&gt;"",DataEntry_SmartICT!H20,0)+IF(DataEntry_SmartICT!I20&lt;&gt;"",DataEntry_SmartICT!I20,0)+IF(DataEntry_SmartICT!J20&lt;&gt;"",6-DataEntry_SmartICT!J20,0)+IF(DataEntry_SmartICT!K20&lt;&gt;"",DataEntry_SmartICT!K20,0)+IF(DataEntry_SmartICT!L20&lt;&gt;"",6-DataEntry_SmartICT!L20,0)+IF(DataEntry_SmartICT!M20&lt;&gt;"",DataEntry_SmartICT!M20,0)+IF(DataEntry_SmartICT!N20&lt;&gt;"",6-DataEntry_SmartICT!N20,0)+IF(DataEntry_SmartICT!O20&lt;&gt;"",6-DataEntry_SmartICT!O20,0)+IF(DataEntry_SmartICT!P20&lt;&gt;"",6-DataEntry_SmartICT!P20,0)+IF(DataEntry_SmartICT!Q20&lt;&gt;"",6-DataEntry_SmartICT!Q20,0)+IF(DataEntry_SmartICT!R20&lt;&gt;"",6-DataEntry_SmartICT!R20,0)+IF(DataEntry_SmartICT!S20&lt;&gt;"",6-DataEntry_SmartICT!S20,0)+IF(DataEntry_SmartICT!T20&lt;&gt;"",6-DataEntry_SmartICT!T20,0)+IF(DataEntry_SmartICT!U20&lt;&gt;"",6-DataEntry_SmartICT!U20,0)+IF(DataEntry_SmartICT!V20&lt;&gt;"",DataEntry_SmartICT!V20,0)+IF(DataEntry_SmartICT!W20&lt;&gt;"",DataEntry_SmartICT!W20,0)+IF(DataEntry_SmartICT!X20&lt;&gt;"",DataEntry_SmartICT!X20,0)+IF(DataEntry_SmartICT!Y20&lt;&gt;"",6-DataEntry_SmartICT!Y20,0)+IF(DataEntry_SmartICT!Z20&lt;&gt;"",6-DataEntry_SmartICT!Z20,0)+IF(DataEntry_SmartICT!AA20&lt;&gt;"",DataEntry_SmartICT!AA20,0)+IF(DataEntry_SmartICT!AB20&lt;&gt;"",DataEntry_SmartICT!AB20,0)+IF(DataEntry_SmartICT!AC20&lt;&gt;"",6-DataEntry_SmartICT!AC20,0)+IF(DataEntry_SmartICT!AD20&lt;&gt;"",DataEntry_SmartICT!AD20,0)</f>
        <v>0</v>
      </c>
      <c r="K18" s="24">
        <f t="shared" si="1"/>
        <v>0</v>
      </c>
      <c r="L18" s="25" t="str">
        <f>IF(H18="","",IF(H18/35&lt;=Configurazione!C21,"Trascurabile",IF(H18/35&lt;=Configurazione!C22,"Moderato","Rilevante")))</f>
        <v>Trascurabile</v>
      </c>
      <c r="M18" s="25" t="str">
        <f>IF(J18=0,"N/A",IF(J18/27&lt;=Configurazione!C26,"Trascurabile",IF(J18/27&lt;=Configurazione!C27,"Moderato","Rilevante")))</f>
        <v>N/A</v>
      </c>
    </row>
    <row r="19" spans="1:13" x14ac:dyDescent="0.25">
      <c r="A19" s="18" t="str">
        <f>DataEntry_Standard!A21</f>
        <v>COMP-017</v>
      </c>
      <c r="B19" s="18">
        <f>DataEntry_Standard!C21</f>
        <v>0</v>
      </c>
      <c r="C19" s="24">
        <f>IF(DataEntry_Standard!D21&lt;&gt;"",DataEntry_Standard!D21,0)+IF(DataEntry_Standard!E21&lt;&gt;"",6-DataEntry_Standard!E21,0)+IF(DataEntry_Standard!F21&lt;&gt;"",6-DataEntry_Standard!F21,0)+IF(DataEntry_Standard!G21&lt;&gt;"",DataEntry_Standard!G21,0)+IF(DataEntry_Standard!H21&lt;&gt;"",6-DataEntry_Standard!H21,0)+IF(DataEntry_Standard!I21&lt;&gt;"",DataEntry_Standard!I21,0)+IF(DataEntry_Standard!J21&lt;&gt;"",DataEntry_Standard!J21,0)+IF(DataEntry_Standard!K21&lt;&gt;"",DataEntry_Standard!K21,0)+IF(DataEntry_Standard!L21&lt;&gt;"",DataEntry_Standard!L21,0)+IF(DataEntry_Standard!M21&lt;&gt;"",DataEntry_Standard!M21,0)</f>
        <v>0</v>
      </c>
      <c r="D19" s="24">
        <f>IF(DataEntry_Standard!N21&lt;&gt;"",DataEntry_Standard!N21,0)+IF(DataEntry_Standard!O21&lt;&gt;"",DataEntry_Standard!O21,0)+IF(DataEntry_Standard!P21&lt;&gt;"",DataEntry_Standard!P21,0)+IF(DataEntry_Standard!Q21&lt;&gt;"",6-DataEntry_Standard!Q21,0)+IF(DataEntry_Standard!R21&lt;&gt;"",6-DataEntry_Standard!R21,0)+IF(DataEntry_Standard!S21&lt;&gt;"",6-DataEntry_Standard!S21,0)+IF(DataEntry_Standard!T21&lt;&gt;"",DataEntry_Standard!T21,0)+IF(DataEntry_Standard!U21&lt;&gt;"",DataEntry_Standard!U21,0)+IF(DataEntry_Standard!V21&lt;&gt;"",DataEntry_Standard!V21,0)</f>
        <v>0</v>
      </c>
      <c r="E19" s="24">
        <f>IF(DataEntry_Standard!W21&lt;&gt;"",DataEntry_Standard!W21,0)+IF(DataEntry_Standard!X21&lt;&gt;"",6-DataEntry_Standard!X21,0)+IF(DataEntry_Standard!Y21&lt;&gt;"",6-DataEntry_Standard!Y21,0)+IF(DataEntry_Standard!Z21&lt;&gt;"",DataEntry_Standard!Z21,0)+IF(DataEntry_Standard!AA21&lt;&gt;"",6-DataEntry_Standard!AA21,0)+IF(DataEntry_Standard!AB21&lt;&gt;"",DataEntry_Standard!AB21,0)+IF(DataEntry_Standard!AC21&lt;&gt;"",DataEntry_Standard!AC21,0)+IF(DataEntry_Standard!AD21&lt;&gt;"",DataEntry_Standard!AD21,0)</f>
        <v>0</v>
      </c>
      <c r="F19" s="24">
        <f>IF(DataEntry_Standard!AE21&lt;&gt;"",DataEntry_Standard!AE21,0)+IF(DataEntry_Standard!AF21&lt;&gt;"",DataEntry_Standard!AF21,0)+IF(DataEntry_Standard!AG21&lt;&gt;"",6-DataEntry_Standard!AG21,0)+IF(DataEntry_Standard!AH21&lt;&gt;"",DataEntry_Standard!AH21,0)+IF(DataEntry_Standard!AI21&lt;&gt;"",6-DataEntry_Standard!AI21,0)</f>
        <v>0</v>
      </c>
      <c r="G19" s="24">
        <f>IF(DataEntry_Standard!AJ21&lt;&gt;"",DataEntry_Standard!AJ21,0)+IF(DataEntry_Standard!AK21&lt;&gt;"",6-DataEntry_Standard!AK21,0)+IF(DataEntry_Standard!AL21&lt;&gt;"",DataEntry_Standard!AL21,0)</f>
        <v>0</v>
      </c>
      <c r="H19" s="24">
        <f t="shared" si="0"/>
        <v>0</v>
      </c>
      <c r="I19" s="24">
        <f>IF(DataEntry_Standard!D21&gt;=4,1,0)+IF(DataEntry_Standard!G21&gt;=4,1,0)+IF(DataEntry_Standard!I21&gt;=4,1,0)+IF(DataEntry_Standard!J21&gt;=4,1,0)+IF(DataEntry_Standard!K21&gt;=4,1,0)+IF(DataEntry_Standard!L21&gt;=4,1,0)+IF(DataEntry_Standard!M21&gt;=4,1,0)+IF(DataEntry_Standard!N21&gt;=4,1,0)+IF(DataEntry_Standard!O21&gt;=4,1,0)+IF(DataEntry_Standard!P21&gt;=4,1,0)+IF(DataEntry_Standard!T21&gt;=4,1,0)+IF(DataEntry_Standard!U21&gt;=4,1,0)+IF(DataEntry_Standard!V21&gt;=4,1,0)+IF(DataEntry_Standard!W21&gt;=4,1,0)+IF(DataEntry_Standard!Z21&gt;=4,1,0)+IF(DataEntry_Standard!AB21&gt;=4,1,0)+IF(DataEntry_Standard!AC21&gt;=4,1,0)+IF(DataEntry_Standard!AD21&gt;=4,1,0)+IF(DataEntry_Standard!AE21&gt;=4,1,0)+IF(DataEntry_Standard!AF21&gt;=4,1,0)+IF(DataEntry_Standard!AH21&gt;=4,1,0)+IF(DataEntry_Standard!AJ21&gt;=4,1,0)+IF(DataEntry_Standard!AL21&gt;=4,1,0)+IF(DataEntry_Standard!AI21&lt;=2,1,0)+IF(DataEntry_Standard!E21&lt;=2,1,0)+IF(DataEntry_Standard!F21&lt;=2,1,0)+IF(DataEntry_Standard!AK21&lt;=2,1,0)+IF(DataEntry_Standard!H21&lt;=2,1,0)+IF(DataEntry_Standard!Q21&lt;=2,1,0)+IF(DataEntry_Standard!R21&lt;=2,1,0)+IF(DataEntry_Standard!S21&lt;=2,1,0)+IF(DataEntry_Standard!X21&lt;=2,1,0)+IF(DataEntry_Standard!Y21&lt;=2,1,0)+IF(DataEntry_Standard!AA21&lt;=2,1,0)+IF(DataEntry_Standard!AG21&lt;=2,1,0)</f>
        <v>12</v>
      </c>
      <c r="J19" s="24">
        <f>IF(DataEntry_SmartICT!D21&lt;&gt;"",DataEntry_SmartICT!D21,0)+IF(DataEntry_SmartICT!E21&lt;&gt;"",DataEntry_SmartICT!E21,0)+IF(DataEntry_SmartICT!F21&lt;&gt;"",6-DataEntry_SmartICT!F21,0)+IF(DataEntry_SmartICT!G21&lt;&gt;"",6-DataEntry_SmartICT!G21,0)+IF(DataEntry_SmartICT!H21&lt;&gt;"",DataEntry_SmartICT!H21,0)+IF(DataEntry_SmartICT!I21&lt;&gt;"",DataEntry_SmartICT!I21,0)+IF(DataEntry_SmartICT!J21&lt;&gt;"",6-DataEntry_SmartICT!J21,0)+IF(DataEntry_SmartICT!K21&lt;&gt;"",DataEntry_SmartICT!K21,0)+IF(DataEntry_SmartICT!L21&lt;&gt;"",6-DataEntry_SmartICT!L21,0)+IF(DataEntry_SmartICT!M21&lt;&gt;"",DataEntry_SmartICT!M21,0)+IF(DataEntry_SmartICT!N21&lt;&gt;"",6-DataEntry_SmartICT!N21,0)+IF(DataEntry_SmartICT!O21&lt;&gt;"",6-DataEntry_SmartICT!O21,0)+IF(DataEntry_SmartICT!P21&lt;&gt;"",6-DataEntry_SmartICT!P21,0)+IF(DataEntry_SmartICT!Q21&lt;&gt;"",6-DataEntry_SmartICT!Q21,0)+IF(DataEntry_SmartICT!R21&lt;&gt;"",6-DataEntry_SmartICT!R21,0)+IF(DataEntry_SmartICT!S21&lt;&gt;"",6-DataEntry_SmartICT!S21,0)+IF(DataEntry_SmartICT!T21&lt;&gt;"",6-DataEntry_SmartICT!T21,0)+IF(DataEntry_SmartICT!U21&lt;&gt;"",6-DataEntry_SmartICT!U21,0)+IF(DataEntry_SmartICT!V21&lt;&gt;"",DataEntry_SmartICT!V21,0)+IF(DataEntry_SmartICT!W21&lt;&gt;"",DataEntry_SmartICT!W21,0)+IF(DataEntry_SmartICT!X21&lt;&gt;"",DataEntry_SmartICT!X21,0)+IF(DataEntry_SmartICT!Y21&lt;&gt;"",6-DataEntry_SmartICT!Y21,0)+IF(DataEntry_SmartICT!Z21&lt;&gt;"",6-DataEntry_SmartICT!Z21,0)+IF(DataEntry_SmartICT!AA21&lt;&gt;"",DataEntry_SmartICT!AA21,0)+IF(DataEntry_SmartICT!AB21&lt;&gt;"",DataEntry_SmartICT!AB21,0)+IF(DataEntry_SmartICT!AC21&lt;&gt;"",6-DataEntry_SmartICT!AC21,0)+IF(DataEntry_SmartICT!AD21&lt;&gt;"",DataEntry_SmartICT!AD21,0)</f>
        <v>0</v>
      </c>
      <c r="K19" s="24">
        <f t="shared" si="1"/>
        <v>0</v>
      </c>
      <c r="L19" s="25" t="str">
        <f>IF(H19="","",IF(H19/35&lt;=Configurazione!C21,"Trascurabile",IF(H19/35&lt;=Configurazione!C22,"Moderato","Rilevante")))</f>
        <v>Trascurabile</v>
      </c>
      <c r="M19" s="25" t="str">
        <f>IF(J19=0,"N/A",IF(J19/27&lt;=Configurazione!C26,"Trascurabile",IF(J19/27&lt;=Configurazione!C27,"Moderato","Rilevante")))</f>
        <v>N/A</v>
      </c>
    </row>
    <row r="20" spans="1:13" x14ac:dyDescent="0.25">
      <c r="A20" s="18" t="str">
        <f>DataEntry_Standard!A22</f>
        <v>COMP-018</v>
      </c>
      <c r="B20" s="18">
        <f>DataEntry_Standard!C22</f>
        <v>0</v>
      </c>
      <c r="C20" s="24">
        <f>IF(DataEntry_Standard!D22&lt;&gt;"",DataEntry_Standard!D22,0)+IF(DataEntry_Standard!E22&lt;&gt;"",6-DataEntry_Standard!E22,0)+IF(DataEntry_Standard!F22&lt;&gt;"",6-DataEntry_Standard!F22,0)+IF(DataEntry_Standard!G22&lt;&gt;"",DataEntry_Standard!G22,0)+IF(DataEntry_Standard!H22&lt;&gt;"",6-DataEntry_Standard!H22,0)+IF(DataEntry_Standard!I22&lt;&gt;"",DataEntry_Standard!I22,0)+IF(DataEntry_Standard!J22&lt;&gt;"",DataEntry_Standard!J22,0)+IF(DataEntry_Standard!K22&lt;&gt;"",DataEntry_Standard!K22,0)+IF(DataEntry_Standard!L22&lt;&gt;"",DataEntry_Standard!L22,0)+IF(DataEntry_Standard!M22&lt;&gt;"",DataEntry_Standard!M22,0)</f>
        <v>0</v>
      </c>
      <c r="D20" s="24">
        <f>IF(DataEntry_Standard!N22&lt;&gt;"",DataEntry_Standard!N22,0)+IF(DataEntry_Standard!O22&lt;&gt;"",DataEntry_Standard!O22,0)+IF(DataEntry_Standard!P22&lt;&gt;"",DataEntry_Standard!P22,0)+IF(DataEntry_Standard!Q22&lt;&gt;"",6-DataEntry_Standard!Q22,0)+IF(DataEntry_Standard!R22&lt;&gt;"",6-DataEntry_Standard!R22,0)+IF(DataEntry_Standard!S22&lt;&gt;"",6-DataEntry_Standard!S22,0)+IF(DataEntry_Standard!T22&lt;&gt;"",DataEntry_Standard!T22,0)+IF(DataEntry_Standard!U22&lt;&gt;"",DataEntry_Standard!U22,0)+IF(DataEntry_Standard!V22&lt;&gt;"",DataEntry_Standard!V22,0)</f>
        <v>0</v>
      </c>
      <c r="E20" s="24">
        <f>IF(DataEntry_Standard!W22&lt;&gt;"",DataEntry_Standard!W22,0)+IF(DataEntry_Standard!X22&lt;&gt;"",6-DataEntry_Standard!X22,0)+IF(DataEntry_Standard!Y22&lt;&gt;"",6-DataEntry_Standard!Y22,0)+IF(DataEntry_Standard!Z22&lt;&gt;"",DataEntry_Standard!Z22,0)+IF(DataEntry_Standard!AA22&lt;&gt;"",6-DataEntry_Standard!AA22,0)+IF(DataEntry_Standard!AB22&lt;&gt;"",DataEntry_Standard!AB22,0)+IF(DataEntry_Standard!AC22&lt;&gt;"",DataEntry_Standard!AC22,0)+IF(DataEntry_Standard!AD22&lt;&gt;"",DataEntry_Standard!AD22,0)</f>
        <v>0</v>
      </c>
      <c r="F20" s="24">
        <f>IF(DataEntry_Standard!AE22&lt;&gt;"",DataEntry_Standard!AE22,0)+IF(DataEntry_Standard!AF22&lt;&gt;"",DataEntry_Standard!AF22,0)+IF(DataEntry_Standard!AG22&lt;&gt;"",6-DataEntry_Standard!AG22,0)+IF(DataEntry_Standard!AH22&lt;&gt;"",DataEntry_Standard!AH22,0)+IF(DataEntry_Standard!AI22&lt;&gt;"",6-DataEntry_Standard!AI22,0)</f>
        <v>0</v>
      </c>
      <c r="G20" s="24">
        <f>IF(DataEntry_Standard!AJ22&lt;&gt;"",DataEntry_Standard!AJ22,0)+IF(DataEntry_Standard!AK22&lt;&gt;"",6-DataEntry_Standard!AK22,0)+IF(DataEntry_Standard!AL22&lt;&gt;"",DataEntry_Standard!AL22,0)</f>
        <v>0</v>
      </c>
      <c r="H20" s="24">
        <f t="shared" si="0"/>
        <v>0</v>
      </c>
      <c r="I20" s="24">
        <f>IF(DataEntry_Standard!D22&gt;=4,1,0)+IF(DataEntry_Standard!G22&gt;=4,1,0)+IF(DataEntry_Standard!I22&gt;=4,1,0)+IF(DataEntry_Standard!J22&gt;=4,1,0)+IF(DataEntry_Standard!K22&gt;=4,1,0)+IF(DataEntry_Standard!L22&gt;=4,1,0)+IF(DataEntry_Standard!M22&gt;=4,1,0)+IF(DataEntry_Standard!N22&gt;=4,1,0)+IF(DataEntry_Standard!O22&gt;=4,1,0)+IF(DataEntry_Standard!P22&gt;=4,1,0)+IF(DataEntry_Standard!T22&gt;=4,1,0)+IF(DataEntry_Standard!U22&gt;=4,1,0)+IF(DataEntry_Standard!V22&gt;=4,1,0)+IF(DataEntry_Standard!W22&gt;=4,1,0)+IF(DataEntry_Standard!Z22&gt;=4,1,0)+IF(DataEntry_Standard!AB22&gt;=4,1,0)+IF(DataEntry_Standard!AC22&gt;=4,1,0)+IF(DataEntry_Standard!AD22&gt;=4,1,0)+IF(DataEntry_Standard!AE22&gt;=4,1,0)+IF(DataEntry_Standard!AF22&gt;=4,1,0)+IF(DataEntry_Standard!AH22&gt;=4,1,0)+IF(DataEntry_Standard!AJ22&gt;=4,1,0)+IF(DataEntry_Standard!AL22&gt;=4,1,0)+IF(DataEntry_Standard!AI22&lt;=2,1,0)+IF(DataEntry_Standard!E22&lt;=2,1,0)+IF(DataEntry_Standard!F22&lt;=2,1,0)+IF(DataEntry_Standard!AK22&lt;=2,1,0)+IF(DataEntry_Standard!H22&lt;=2,1,0)+IF(DataEntry_Standard!Q22&lt;=2,1,0)+IF(DataEntry_Standard!R22&lt;=2,1,0)+IF(DataEntry_Standard!S22&lt;=2,1,0)+IF(DataEntry_Standard!X22&lt;=2,1,0)+IF(DataEntry_Standard!Y22&lt;=2,1,0)+IF(DataEntry_Standard!AA22&lt;=2,1,0)+IF(DataEntry_Standard!AG22&lt;=2,1,0)</f>
        <v>12</v>
      </c>
      <c r="J20" s="24">
        <f>IF(DataEntry_SmartICT!D22&lt;&gt;"",DataEntry_SmartICT!D22,0)+IF(DataEntry_SmartICT!E22&lt;&gt;"",DataEntry_SmartICT!E22,0)+IF(DataEntry_SmartICT!F22&lt;&gt;"",6-DataEntry_SmartICT!F22,0)+IF(DataEntry_SmartICT!G22&lt;&gt;"",6-DataEntry_SmartICT!G22,0)+IF(DataEntry_SmartICT!H22&lt;&gt;"",DataEntry_SmartICT!H22,0)+IF(DataEntry_SmartICT!I22&lt;&gt;"",DataEntry_SmartICT!I22,0)+IF(DataEntry_SmartICT!J22&lt;&gt;"",6-DataEntry_SmartICT!J22,0)+IF(DataEntry_SmartICT!K22&lt;&gt;"",DataEntry_SmartICT!K22,0)+IF(DataEntry_SmartICT!L22&lt;&gt;"",6-DataEntry_SmartICT!L22,0)+IF(DataEntry_SmartICT!M22&lt;&gt;"",DataEntry_SmartICT!M22,0)+IF(DataEntry_SmartICT!N22&lt;&gt;"",6-DataEntry_SmartICT!N22,0)+IF(DataEntry_SmartICT!O22&lt;&gt;"",6-DataEntry_SmartICT!O22,0)+IF(DataEntry_SmartICT!P22&lt;&gt;"",6-DataEntry_SmartICT!P22,0)+IF(DataEntry_SmartICT!Q22&lt;&gt;"",6-DataEntry_SmartICT!Q22,0)+IF(DataEntry_SmartICT!R22&lt;&gt;"",6-DataEntry_SmartICT!R22,0)+IF(DataEntry_SmartICT!S22&lt;&gt;"",6-DataEntry_SmartICT!S22,0)+IF(DataEntry_SmartICT!T22&lt;&gt;"",6-DataEntry_SmartICT!T22,0)+IF(DataEntry_SmartICT!U22&lt;&gt;"",6-DataEntry_SmartICT!U22,0)+IF(DataEntry_SmartICT!V22&lt;&gt;"",DataEntry_SmartICT!V22,0)+IF(DataEntry_SmartICT!W22&lt;&gt;"",DataEntry_SmartICT!W22,0)+IF(DataEntry_SmartICT!X22&lt;&gt;"",DataEntry_SmartICT!X22,0)+IF(DataEntry_SmartICT!Y22&lt;&gt;"",6-DataEntry_SmartICT!Y22,0)+IF(DataEntry_SmartICT!Z22&lt;&gt;"",6-DataEntry_SmartICT!Z22,0)+IF(DataEntry_SmartICT!AA22&lt;&gt;"",DataEntry_SmartICT!AA22,0)+IF(DataEntry_SmartICT!AB22&lt;&gt;"",DataEntry_SmartICT!AB22,0)+IF(DataEntry_SmartICT!AC22&lt;&gt;"",6-DataEntry_SmartICT!AC22,0)+IF(DataEntry_SmartICT!AD22&lt;&gt;"",DataEntry_SmartICT!AD22,0)</f>
        <v>0</v>
      </c>
      <c r="K20" s="24">
        <f t="shared" si="1"/>
        <v>0</v>
      </c>
      <c r="L20" s="25" t="str">
        <f>IF(H20="","",IF(H20/35&lt;=Configurazione!C21,"Trascurabile",IF(H20/35&lt;=Configurazione!C22,"Moderato","Rilevante")))</f>
        <v>Trascurabile</v>
      </c>
      <c r="M20" s="25" t="str">
        <f>IF(J20=0,"N/A",IF(J20/27&lt;=Configurazione!C26,"Trascurabile",IF(J20/27&lt;=Configurazione!C27,"Moderato","Rilevante")))</f>
        <v>N/A</v>
      </c>
    </row>
    <row r="21" spans="1:13" x14ac:dyDescent="0.25">
      <c r="A21" s="18" t="str">
        <f>DataEntry_Standard!A23</f>
        <v>COMP-019</v>
      </c>
      <c r="B21" s="18">
        <f>DataEntry_Standard!C23</f>
        <v>0</v>
      </c>
      <c r="C21" s="24">
        <f>IF(DataEntry_Standard!D23&lt;&gt;"",DataEntry_Standard!D23,0)+IF(DataEntry_Standard!E23&lt;&gt;"",6-DataEntry_Standard!E23,0)+IF(DataEntry_Standard!F23&lt;&gt;"",6-DataEntry_Standard!F23,0)+IF(DataEntry_Standard!G23&lt;&gt;"",DataEntry_Standard!G23,0)+IF(DataEntry_Standard!H23&lt;&gt;"",6-DataEntry_Standard!H23,0)+IF(DataEntry_Standard!I23&lt;&gt;"",DataEntry_Standard!I23,0)+IF(DataEntry_Standard!J23&lt;&gt;"",DataEntry_Standard!J23,0)+IF(DataEntry_Standard!K23&lt;&gt;"",DataEntry_Standard!K23,0)+IF(DataEntry_Standard!L23&lt;&gt;"",DataEntry_Standard!L23,0)+IF(DataEntry_Standard!M23&lt;&gt;"",DataEntry_Standard!M23,0)</f>
        <v>0</v>
      </c>
      <c r="D21" s="24">
        <f>IF(DataEntry_Standard!N23&lt;&gt;"",DataEntry_Standard!N23,0)+IF(DataEntry_Standard!O23&lt;&gt;"",DataEntry_Standard!O23,0)+IF(DataEntry_Standard!P23&lt;&gt;"",DataEntry_Standard!P23,0)+IF(DataEntry_Standard!Q23&lt;&gt;"",6-DataEntry_Standard!Q23,0)+IF(DataEntry_Standard!R23&lt;&gt;"",6-DataEntry_Standard!R23,0)+IF(DataEntry_Standard!S23&lt;&gt;"",6-DataEntry_Standard!S23,0)+IF(DataEntry_Standard!T23&lt;&gt;"",DataEntry_Standard!T23,0)+IF(DataEntry_Standard!U23&lt;&gt;"",DataEntry_Standard!U23,0)+IF(DataEntry_Standard!V23&lt;&gt;"",DataEntry_Standard!V23,0)</f>
        <v>0</v>
      </c>
      <c r="E21" s="24">
        <f>IF(DataEntry_Standard!W23&lt;&gt;"",DataEntry_Standard!W23,0)+IF(DataEntry_Standard!X23&lt;&gt;"",6-DataEntry_Standard!X23,0)+IF(DataEntry_Standard!Y23&lt;&gt;"",6-DataEntry_Standard!Y23,0)+IF(DataEntry_Standard!Z23&lt;&gt;"",DataEntry_Standard!Z23,0)+IF(DataEntry_Standard!AA23&lt;&gt;"",6-DataEntry_Standard!AA23,0)+IF(DataEntry_Standard!AB23&lt;&gt;"",DataEntry_Standard!AB23,0)+IF(DataEntry_Standard!AC23&lt;&gt;"",DataEntry_Standard!AC23,0)+IF(DataEntry_Standard!AD23&lt;&gt;"",DataEntry_Standard!AD23,0)</f>
        <v>0</v>
      </c>
      <c r="F21" s="24">
        <f>IF(DataEntry_Standard!AE23&lt;&gt;"",DataEntry_Standard!AE23,0)+IF(DataEntry_Standard!AF23&lt;&gt;"",DataEntry_Standard!AF23,0)+IF(DataEntry_Standard!AG23&lt;&gt;"",6-DataEntry_Standard!AG23,0)+IF(DataEntry_Standard!AH23&lt;&gt;"",DataEntry_Standard!AH23,0)+IF(DataEntry_Standard!AI23&lt;&gt;"",6-DataEntry_Standard!AI23,0)</f>
        <v>0</v>
      </c>
      <c r="G21" s="24">
        <f>IF(DataEntry_Standard!AJ23&lt;&gt;"",DataEntry_Standard!AJ23,0)+IF(DataEntry_Standard!AK23&lt;&gt;"",6-DataEntry_Standard!AK23,0)+IF(DataEntry_Standard!AL23&lt;&gt;"",DataEntry_Standard!AL23,0)</f>
        <v>0</v>
      </c>
      <c r="H21" s="24">
        <f t="shared" si="0"/>
        <v>0</v>
      </c>
      <c r="I21" s="24">
        <f>IF(DataEntry_Standard!D23&gt;=4,1,0)+IF(DataEntry_Standard!G23&gt;=4,1,0)+IF(DataEntry_Standard!I23&gt;=4,1,0)+IF(DataEntry_Standard!J23&gt;=4,1,0)+IF(DataEntry_Standard!K23&gt;=4,1,0)+IF(DataEntry_Standard!L23&gt;=4,1,0)+IF(DataEntry_Standard!M23&gt;=4,1,0)+IF(DataEntry_Standard!N23&gt;=4,1,0)+IF(DataEntry_Standard!O23&gt;=4,1,0)+IF(DataEntry_Standard!P23&gt;=4,1,0)+IF(DataEntry_Standard!T23&gt;=4,1,0)+IF(DataEntry_Standard!U23&gt;=4,1,0)+IF(DataEntry_Standard!V23&gt;=4,1,0)+IF(DataEntry_Standard!W23&gt;=4,1,0)+IF(DataEntry_Standard!Z23&gt;=4,1,0)+IF(DataEntry_Standard!AB23&gt;=4,1,0)+IF(DataEntry_Standard!AC23&gt;=4,1,0)+IF(DataEntry_Standard!AD23&gt;=4,1,0)+IF(DataEntry_Standard!AE23&gt;=4,1,0)+IF(DataEntry_Standard!AF23&gt;=4,1,0)+IF(DataEntry_Standard!AH23&gt;=4,1,0)+IF(DataEntry_Standard!AJ23&gt;=4,1,0)+IF(DataEntry_Standard!AL23&gt;=4,1,0)+IF(DataEntry_Standard!AI23&lt;=2,1,0)+IF(DataEntry_Standard!E23&lt;=2,1,0)+IF(DataEntry_Standard!F23&lt;=2,1,0)+IF(DataEntry_Standard!AK23&lt;=2,1,0)+IF(DataEntry_Standard!H23&lt;=2,1,0)+IF(DataEntry_Standard!Q23&lt;=2,1,0)+IF(DataEntry_Standard!R23&lt;=2,1,0)+IF(DataEntry_Standard!S23&lt;=2,1,0)+IF(DataEntry_Standard!X23&lt;=2,1,0)+IF(DataEntry_Standard!Y23&lt;=2,1,0)+IF(DataEntry_Standard!AA23&lt;=2,1,0)+IF(DataEntry_Standard!AG23&lt;=2,1,0)</f>
        <v>12</v>
      </c>
      <c r="J21" s="24">
        <f>IF(DataEntry_SmartICT!D23&lt;&gt;"",DataEntry_SmartICT!D23,0)+IF(DataEntry_SmartICT!E23&lt;&gt;"",DataEntry_SmartICT!E23,0)+IF(DataEntry_SmartICT!F23&lt;&gt;"",6-DataEntry_SmartICT!F23,0)+IF(DataEntry_SmartICT!G23&lt;&gt;"",6-DataEntry_SmartICT!G23,0)+IF(DataEntry_SmartICT!H23&lt;&gt;"",DataEntry_SmartICT!H23,0)+IF(DataEntry_SmartICT!I23&lt;&gt;"",DataEntry_SmartICT!I23,0)+IF(DataEntry_SmartICT!J23&lt;&gt;"",6-DataEntry_SmartICT!J23,0)+IF(DataEntry_SmartICT!K23&lt;&gt;"",DataEntry_SmartICT!K23,0)+IF(DataEntry_SmartICT!L23&lt;&gt;"",6-DataEntry_SmartICT!L23,0)+IF(DataEntry_SmartICT!M23&lt;&gt;"",DataEntry_SmartICT!M23,0)+IF(DataEntry_SmartICT!N23&lt;&gt;"",6-DataEntry_SmartICT!N23,0)+IF(DataEntry_SmartICT!O23&lt;&gt;"",6-DataEntry_SmartICT!O23,0)+IF(DataEntry_SmartICT!P23&lt;&gt;"",6-DataEntry_SmartICT!P23,0)+IF(DataEntry_SmartICT!Q23&lt;&gt;"",6-DataEntry_SmartICT!Q23,0)+IF(DataEntry_SmartICT!R23&lt;&gt;"",6-DataEntry_SmartICT!R23,0)+IF(DataEntry_SmartICT!S23&lt;&gt;"",6-DataEntry_SmartICT!S23,0)+IF(DataEntry_SmartICT!T23&lt;&gt;"",6-DataEntry_SmartICT!T23,0)+IF(DataEntry_SmartICT!U23&lt;&gt;"",6-DataEntry_SmartICT!U23,0)+IF(DataEntry_SmartICT!V23&lt;&gt;"",DataEntry_SmartICT!V23,0)+IF(DataEntry_SmartICT!W23&lt;&gt;"",DataEntry_SmartICT!W23,0)+IF(DataEntry_SmartICT!X23&lt;&gt;"",DataEntry_SmartICT!X23,0)+IF(DataEntry_SmartICT!Y23&lt;&gt;"",6-DataEntry_SmartICT!Y23,0)+IF(DataEntry_SmartICT!Z23&lt;&gt;"",6-DataEntry_SmartICT!Z23,0)+IF(DataEntry_SmartICT!AA23&lt;&gt;"",DataEntry_SmartICT!AA23,0)+IF(DataEntry_SmartICT!AB23&lt;&gt;"",DataEntry_SmartICT!AB23,0)+IF(DataEntry_SmartICT!AC23&lt;&gt;"",6-DataEntry_SmartICT!AC23,0)+IF(DataEntry_SmartICT!AD23&lt;&gt;"",DataEntry_SmartICT!AD23,0)</f>
        <v>0</v>
      </c>
      <c r="K21" s="24">
        <f t="shared" si="1"/>
        <v>0</v>
      </c>
      <c r="L21" s="25" t="str">
        <f>IF(H21="","",IF(H21/35&lt;=Configurazione!C21,"Trascurabile",IF(H21/35&lt;=Configurazione!C22,"Moderato","Rilevante")))</f>
        <v>Trascurabile</v>
      </c>
      <c r="M21" s="25" t="str">
        <f>IF(J21=0,"N/A",IF(J21/27&lt;=Configurazione!C26,"Trascurabile",IF(J21/27&lt;=Configurazione!C27,"Moderato","Rilevante")))</f>
        <v>N/A</v>
      </c>
    </row>
    <row r="22" spans="1:13" x14ac:dyDescent="0.25">
      <c r="A22" s="18" t="str">
        <f>DataEntry_Standard!A24</f>
        <v>COMP-020</v>
      </c>
      <c r="B22" s="18">
        <f>DataEntry_Standard!C24</f>
        <v>0</v>
      </c>
      <c r="C22" s="24">
        <f>IF(DataEntry_Standard!D24&lt;&gt;"",DataEntry_Standard!D24,0)+IF(DataEntry_Standard!E24&lt;&gt;"",6-DataEntry_Standard!E24,0)+IF(DataEntry_Standard!F24&lt;&gt;"",6-DataEntry_Standard!F24,0)+IF(DataEntry_Standard!G24&lt;&gt;"",DataEntry_Standard!G24,0)+IF(DataEntry_Standard!H24&lt;&gt;"",6-DataEntry_Standard!H24,0)+IF(DataEntry_Standard!I24&lt;&gt;"",DataEntry_Standard!I24,0)+IF(DataEntry_Standard!J24&lt;&gt;"",DataEntry_Standard!J24,0)+IF(DataEntry_Standard!K24&lt;&gt;"",DataEntry_Standard!K24,0)+IF(DataEntry_Standard!L24&lt;&gt;"",DataEntry_Standard!L24,0)+IF(DataEntry_Standard!M24&lt;&gt;"",DataEntry_Standard!M24,0)</f>
        <v>0</v>
      </c>
      <c r="D22" s="24">
        <f>IF(DataEntry_Standard!N24&lt;&gt;"",DataEntry_Standard!N24,0)+IF(DataEntry_Standard!O24&lt;&gt;"",DataEntry_Standard!O24,0)+IF(DataEntry_Standard!P24&lt;&gt;"",DataEntry_Standard!P24,0)+IF(DataEntry_Standard!Q24&lt;&gt;"",6-DataEntry_Standard!Q24,0)+IF(DataEntry_Standard!R24&lt;&gt;"",6-DataEntry_Standard!R24,0)+IF(DataEntry_Standard!S24&lt;&gt;"",6-DataEntry_Standard!S24,0)+IF(DataEntry_Standard!T24&lt;&gt;"",DataEntry_Standard!T24,0)+IF(DataEntry_Standard!U24&lt;&gt;"",DataEntry_Standard!U24,0)+IF(DataEntry_Standard!V24&lt;&gt;"",DataEntry_Standard!V24,0)</f>
        <v>0</v>
      </c>
      <c r="E22" s="24">
        <f>IF(DataEntry_Standard!W24&lt;&gt;"",DataEntry_Standard!W24,0)+IF(DataEntry_Standard!X24&lt;&gt;"",6-DataEntry_Standard!X24,0)+IF(DataEntry_Standard!Y24&lt;&gt;"",6-DataEntry_Standard!Y24,0)+IF(DataEntry_Standard!Z24&lt;&gt;"",DataEntry_Standard!Z24,0)+IF(DataEntry_Standard!AA24&lt;&gt;"",6-DataEntry_Standard!AA24,0)+IF(DataEntry_Standard!AB24&lt;&gt;"",DataEntry_Standard!AB24,0)+IF(DataEntry_Standard!AC24&lt;&gt;"",DataEntry_Standard!AC24,0)+IF(DataEntry_Standard!AD24&lt;&gt;"",DataEntry_Standard!AD24,0)</f>
        <v>0</v>
      </c>
      <c r="F22" s="24">
        <f>IF(DataEntry_Standard!AE24&lt;&gt;"",DataEntry_Standard!AE24,0)+IF(DataEntry_Standard!AF24&lt;&gt;"",DataEntry_Standard!AF24,0)+IF(DataEntry_Standard!AG24&lt;&gt;"",6-DataEntry_Standard!AG24,0)+IF(DataEntry_Standard!AH24&lt;&gt;"",DataEntry_Standard!AH24,0)+IF(DataEntry_Standard!AI24&lt;&gt;"",6-DataEntry_Standard!AI24,0)</f>
        <v>0</v>
      </c>
      <c r="G22" s="24">
        <f>IF(DataEntry_Standard!AJ24&lt;&gt;"",DataEntry_Standard!AJ24,0)+IF(DataEntry_Standard!AK24&lt;&gt;"",6-DataEntry_Standard!AK24,0)+IF(DataEntry_Standard!AL24&lt;&gt;"",DataEntry_Standard!AL24,0)</f>
        <v>0</v>
      </c>
      <c r="H22" s="24">
        <f t="shared" si="0"/>
        <v>0</v>
      </c>
      <c r="I22" s="24">
        <f>IF(DataEntry_Standard!D24&gt;=4,1,0)+IF(DataEntry_Standard!G24&gt;=4,1,0)+IF(DataEntry_Standard!I24&gt;=4,1,0)+IF(DataEntry_Standard!J24&gt;=4,1,0)+IF(DataEntry_Standard!K24&gt;=4,1,0)+IF(DataEntry_Standard!L24&gt;=4,1,0)+IF(DataEntry_Standard!M24&gt;=4,1,0)+IF(DataEntry_Standard!N24&gt;=4,1,0)+IF(DataEntry_Standard!O24&gt;=4,1,0)+IF(DataEntry_Standard!P24&gt;=4,1,0)+IF(DataEntry_Standard!T24&gt;=4,1,0)+IF(DataEntry_Standard!U24&gt;=4,1,0)+IF(DataEntry_Standard!V24&gt;=4,1,0)+IF(DataEntry_Standard!W24&gt;=4,1,0)+IF(DataEntry_Standard!Z24&gt;=4,1,0)+IF(DataEntry_Standard!AB24&gt;=4,1,0)+IF(DataEntry_Standard!AC24&gt;=4,1,0)+IF(DataEntry_Standard!AD24&gt;=4,1,0)+IF(DataEntry_Standard!AE24&gt;=4,1,0)+IF(DataEntry_Standard!AF24&gt;=4,1,0)+IF(DataEntry_Standard!AH24&gt;=4,1,0)+IF(DataEntry_Standard!AJ24&gt;=4,1,0)+IF(DataEntry_Standard!AL24&gt;=4,1,0)+IF(DataEntry_Standard!AI24&lt;=2,1,0)+IF(DataEntry_Standard!E24&lt;=2,1,0)+IF(DataEntry_Standard!F24&lt;=2,1,0)+IF(DataEntry_Standard!AK24&lt;=2,1,0)+IF(DataEntry_Standard!H24&lt;=2,1,0)+IF(DataEntry_Standard!Q24&lt;=2,1,0)+IF(DataEntry_Standard!R24&lt;=2,1,0)+IF(DataEntry_Standard!S24&lt;=2,1,0)+IF(DataEntry_Standard!X24&lt;=2,1,0)+IF(DataEntry_Standard!Y24&lt;=2,1,0)+IF(DataEntry_Standard!AA24&lt;=2,1,0)+IF(DataEntry_Standard!AG24&lt;=2,1,0)</f>
        <v>12</v>
      </c>
      <c r="J22" s="24">
        <f>IF(DataEntry_SmartICT!D24&lt;&gt;"",DataEntry_SmartICT!D24,0)+IF(DataEntry_SmartICT!E24&lt;&gt;"",DataEntry_SmartICT!E24,0)+IF(DataEntry_SmartICT!F24&lt;&gt;"",6-DataEntry_SmartICT!F24,0)+IF(DataEntry_SmartICT!G24&lt;&gt;"",6-DataEntry_SmartICT!G24,0)+IF(DataEntry_SmartICT!H24&lt;&gt;"",DataEntry_SmartICT!H24,0)+IF(DataEntry_SmartICT!I24&lt;&gt;"",DataEntry_SmartICT!I24,0)+IF(DataEntry_SmartICT!J24&lt;&gt;"",6-DataEntry_SmartICT!J24,0)+IF(DataEntry_SmartICT!K24&lt;&gt;"",DataEntry_SmartICT!K24,0)+IF(DataEntry_SmartICT!L24&lt;&gt;"",6-DataEntry_SmartICT!L24,0)+IF(DataEntry_SmartICT!M24&lt;&gt;"",DataEntry_SmartICT!M24,0)+IF(DataEntry_SmartICT!N24&lt;&gt;"",6-DataEntry_SmartICT!N24,0)+IF(DataEntry_SmartICT!O24&lt;&gt;"",6-DataEntry_SmartICT!O24,0)+IF(DataEntry_SmartICT!P24&lt;&gt;"",6-DataEntry_SmartICT!P24,0)+IF(DataEntry_SmartICT!Q24&lt;&gt;"",6-DataEntry_SmartICT!Q24,0)+IF(DataEntry_SmartICT!R24&lt;&gt;"",6-DataEntry_SmartICT!R24,0)+IF(DataEntry_SmartICT!S24&lt;&gt;"",6-DataEntry_SmartICT!S24,0)+IF(DataEntry_SmartICT!T24&lt;&gt;"",6-DataEntry_SmartICT!T24,0)+IF(DataEntry_SmartICT!U24&lt;&gt;"",6-DataEntry_SmartICT!U24,0)+IF(DataEntry_SmartICT!V24&lt;&gt;"",DataEntry_SmartICT!V24,0)+IF(DataEntry_SmartICT!W24&lt;&gt;"",DataEntry_SmartICT!W24,0)+IF(DataEntry_SmartICT!X24&lt;&gt;"",DataEntry_SmartICT!X24,0)+IF(DataEntry_SmartICT!Y24&lt;&gt;"",6-DataEntry_SmartICT!Y24,0)+IF(DataEntry_SmartICT!Z24&lt;&gt;"",6-DataEntry_SmartICT!Z24,0)+IF(DataEntry_SmartICT!AA24&lt;&gt;"",DataEntry_SmartICT!AA24,0)+IF(DataEntry_SmartICT!AB24&lt;&gt;"",DataEntry_SmartICT!AB24,0)+IF(DataEntry_SmartICT!AC24&lt;&gt;"",6-DataEntry_SmartICT!AC24,0)+IF(DataEntry_SmartICT!AD24&lt;&gt;"",DataEntry_SmartICT!AD24,0)</f>
        <v>0</v>
      </c>
      <c r="K22" s="24">
        <f t="shared" si="1"/>
        <v>0</v>
      </c>
      <c r="L22" s="25" t="str">
        <f>IF(H22="","",IF(H22/35&lt;=Configurazione!C21,"Trascurabile",IF(H22/35&lt;=Configurazione!C22,"Moderato","Rilevante")))</f>
        <v>Trascurabile</v>
      </c>
      <c r="M22" s="25" t="str">
        <f>IF(J22=0,"N/A",IF(J22/27&lt;=Configurazione!C26,"Trascurabile",IF(J22/27&lt;=Configurazione!C27,"Moderato","Rilevante")))</f>
        <v>N/A</v>
      </c>
    </row>
    <row r="23" spans="1:13" x14ac:dyDescent="0.25">
      <c r="A23" s="18" t="str">
        <f>DataEntry_Standard!A25</f>
        <v>COMP-021</v>
      </c>
      <c r="B23" s="18">
        <f>DataEntry_Standard!C25</f>
        <v>0</v>
      </c>
      <c r="C23" s="24">
        <f>IF(DataEntry_Standard!D25&lt;&gt;"",DataEntry_Standard!D25,0)+IF(DataEntry_Standard!E25&lt;&gt;"",6-DataEntry_Standard!E25,0)+IF(DataEntry_Standard!F25&lt;&gt;"",6-DataEntry_Standard!F25,0)+IF(DataEntry_Standard!G25&lt;&gt;"",DataEntry_Standard!G25,0)+IF(DataEntry_Standard!H25&lt;&gt;"",6-DataEntry_Standard!H25,0)+IF(DataEntry_Standard!I25&lt;&gt;"",DataEntry_Standard!I25,0)+IF(DataEntry_Standard!J25&lt;&gt;"",DataEntry_Standard!J25,0)+IF(DataEntry_Standard!K25&lt;&gt;"",DataEntry_Standard!K25,0)+IF(DataEntry_Standard!L25&lt;&gt;"",DataEntry_Standard!L25,0)+IF(DataEntry_Standard!M25&lt;&gt;"",DataEntry_Standard!M25,0)</f>
        <v>0</v>
      </c>
      <c r="D23" s="24">
        <f>IF(DataEntry_Standard!N25&lt;&gt;"",DataEntry_Standard!N25,0)+IF(DataEntry_Standard!O25&lt;&gt;"",DataEntry_Standard!O25,0)+IF(DataEntry_Standard!P25&lt;&gt;"",DataEntry_Standard!P25,0)+IF(DataEntry_Standard!Q25&lt;&gt;"",6-DataEntry_Standard!Q25,0)+IF(DataEntry_Standard!R25&lt;&gt;"",6-DataEntry_Standard!R25,0)+IF(DataEntry_Standard!S25&lt;&gt;"",6-DataEntry_Standard!S25,0)+IF(DataEntry_Standard!T25&lt;&gt;"",DataEntry_Standard!T25,0)+IF(DataEntry_Standard!U25&lt;&gt;"",DataEntry_Standard!U25,0)+IF(DataEntry_Standard!V25&lt;&gt;"",DataEntry_Standard!V25,0)</f>
        <v>0</v>
      </c>
      <c r="E23" s="24">
        <f>IF(DataEntry_Standard!W25&lt;&gt;"",DataEntry_Standard!W25,0)+IF(DataEntry_Standard!X25&lt;&gt;"",6-DataEntry_Standard!X25,0)+IF(DataEntry_Standard!Y25&lt;&gt;"",6-DataEntry_Standard!Y25,0)+IF(DataEntry_Standard!Z25&lt;&gt;"",DataEntry_Standard!Z25,0)+IF(DataEntry_Standard!AA25&lt;&gt;"",6-DataEntry_Standard!AA25,0)+IF(DataEntry_Standard!AB25&lt;&gt;"",DataEntry_Standard!AB25,0)+IF(DataEntry_Standard!AC25&lt;&gt;"",DataEntry_Standard!AC25,0)+IF(DataEntry_Standard!AD25&lt;&gt;"",DataEntry_Standard!AD25,0)</f>
        <v>0</v>
      </c>
      <c r="F23" s="24">
        <f>IF(DataEntry_Standard!AE25&lt;&gt;"",DataEntry_Standard!AE25,0)+IF(DataEntry_Standard!AF25&lt;&gt;"",DataEntry_Standard!AF25,0)+IF(DataEntry_Standard!AG25&lt;&gt;"",6-DataEntry_Standard!AG25,0)+IF(DataEntry_Standard!AH25&lt;&gt;"",DataEntry_Standard!AH25,0)+IF(DataEntry_Standard!AI25&lt;&gt;"",6-DataEntry_Standard!AI25,0)</f>
        <v>0</v>
      </c>
      <c r="G23" s="24">
        <f>IF(DataEntry_Standard!AJ25&lt;&gt;"",DataEntry_Standard!AJ25,0)+IF(DataEntry_Standard!AK25&lt;&gt;"",6-DataEntry_Standard!AK25,0)+IF(DataEntry_Standard!AL25&lt;&gt;"",DataEntry_Standard!AL25,0)</f>
        <v>0</v>
      </c>
      <c r="H23" s="24">
        <f t="shared" si="0"/>
        <v>0</v>
      </c>
      <c r="I23" s="24">
        <f>IF(DataEntry_Standard!D25&gt;=4,1,0)+IF(DataEntry_Standard!G25&gt;=4,1,0)+IF(DataEntry_Standard!I25&gt;=4,1,0)+IF(DataEntry_Standard!J25&gt;=4,1,0)+IF(DataEntry_Standard!K25&gt;=4,1,0)+IF(DataEntry_Standard!L25&gt;=4,1,0)+IF(DataEntry_Standard!M25&gt;=4,1,0)+IF(DataEntry_Standard!N25&gt;=4,1,0)+IF(DataEntry_Standard!O25&gt;=4,1,0)+IF(DataEntry_Standard!P25&gt;=4,1,0)+IF(DataEntry_Standard!T25&gt;=4,1,0)+IF(DataEntry_Standard!U25&gt;=4,1,0)+IF(DataEntry_Standard!V25&gt;=4,1,0)+IF(DataEntry_Standard!W25&gt;=4,1,0)+IF(DataEntry_Standard!Z25&gt;=4,1,0)+IF(DataEntry_Standard!AB25&gt;=4,1,0)+IF(DataEntry_Standard!AC25&gt;=4,1,0)+IF(DataEntry_Standard!AD25&gt;=4,1,0)+IF(DataEntry_Standard!AE25&gt;=4,1,0)+IF(DataEntry_Standard!AF25&gt;=4,1,0)+IF(DataEntry_Standard!AH25&gt;=4,1,0)+IF(DataEntry_Standard!AJ25&gt;=4,1,0)+IF(DataEntry_Standard!AL25&gt;=4,1,0)+IF(DataEntry_Standard!AI25&lt;=2,1,0)+IF(DataEntry_Standard!E25&lt;=2,1,0)+IF(DataEntry_Standard!F25&lt;=2,1,0)+IF(DataEntry_Standard!AK25&lt;=2,1,0)+IF(DataEntry_Standard!H25&lt;=2,1,0)+IF(DataEntry_Standard!Q25&lt;=2,1,0)+IF(DataEntry_Standard!R25&lt;=2,1,0)+IF(DataEntry_Standard!S25&lt;=2,1,0)+IF(DataEntry_Standard!X25&lt;=2,1,0)+IF(DataEntry_Standard!Y25&lt;=2,1,0)+IF(DataEntry_Standard!AA25&lt;=2,1,0)+IF(DataEntry_Standard!AG25&lt;=2,1,0)</f>
        <v>12</v>
      </c>
      <c r="J23" s="24">
        <f>IF(DataEntry_SmartICT!D25&lt;&gt;"",DataEntry_SmartICT!D25,0)+IF(DataEntry_SmartICT!E25&lt;&gt;"",DataEntry_SmartICT!E25,0)+IF(DataEntry_SmartICT!F25&lt;&gt;"",6-DataEntry_SmartICT!F25,0)+IF(DataEntry_SmartICT!G25&lt;&gt;"",6-DataEntry_SmartICT!G25,0)+IF(DataEntry_SmartICT!H25&lt;&gt;"",DataEntry_SmartICT!H25,0)+IF(DataEntry_SmartICT!I25&lt;&gt;"",DataEntry_SmartICT!I25,0)+IF(DataEntry_SmartICT!J25&lt;&gt;"",6-DataEntry_SmartICT!J25,0)+IF(DataEntry_SmartICT!K25&lt;&gt;"",DataEntry_SmartICT!K25,0)+IF(DataEntry_SmartICT!L25&lt;&gt;"",6-DataEntry_SmartICT!L25,0)+IF(DataEntry_SmartICT!M25&lt;&gt;"",DataEntry_SmartICT!M25,0)+IF(DataEntry_SmartICT!N25&lt;&gt;"",6-DataEntry_SmartICT!N25,0)+IF(DataEntry_SmartICT!O25&lt;&gt;"",6-DataEntry_SmartICT!O25,0)+IF(DataEntry_SmartICT!P25&lt;&gt;"",6-DataEntry_SmartICT!P25,0)+IF(DataEntry_SmartICT!Q25&lt;&gt;"",6-DataEntry_SmartICT!Q25,0)+IF(DataEntry_SmartICT!R25&lt;&gt;"",6-DataEntry_SmartICT!R25,0)+IF(DataEntry_SmartICT!S25&lt;&gt;"",6-DataEntry_SmartICT!S25,0)+IF(DataEntry_SmartICT!T25&lt;&gt;"",6-DataEntry_SmartICT!T25,0)+IF(DataEntry_SmartICT!U25&lt;&gt;"",6-DataEntry_SmartICT!U25,0)+IF(DataEntry_SmartICT!V25&lt;&gt;"",DataEntry_SmartICT!V25,0)+IF(DataEntry_SmartICT!W25&lt;&gt;"",DataEntry_SmartICT!W25,0)+IF(DataEntry_SmartICT!X25&lt;&gt;"",DataEntry_SmartICT!X25,0)+IF(DataEntry_SmartICT!Y25&lt;&gt;"",6-DataEntry_SmartICT!Y25,0)+IF(DataEntry_SmartICT!Z25&lt;&gt;"",6-DataEntry_SmartICT!Z25,0)+IF(DataEntry_SmartICT!AA25&lt;&gt;"",DataEntry_SmartICT!AA25,0)+IF(DataEntry_SmartICT!AB25&lt;&gt;"",DataEntry_SmartICT!AB25,0)+IF(DataEntry_SmartICT!AC25&lt;&gt;"",6-DataEntry_SmartICT!AC25,0)+IF(DataEntry_SmartICT!AD25&lt;&gt;"",DataEntry_SmartICT!AD25,0)</f>
        <v>0</v>
      </c>
      <c r="K23" s="24">
        <f t="shared" si="1"/>
        <v>0</v>
      </c>
      <c r="L23" s="25" t="str">
        <f>IF(H23="","",IF(H23/35&lt;=Configurazione!C21,"Trascurabile",IF(H23/35&lt;=Configurazione!C22,"Moderato","Rilevante")))</f>
        <v>Trascurabile</v>
      </c>
      <c r="M23" s="25" t="str">
        <f>IF(J23=0,"N/A",IF(J23/27&lt;=Configurazione!C26,"Trascurabile",IF(J23/27&lt;=Configurazione!C27,"Moderato","Rilevante")))</f>
        <v>N/A</v>
      </c>
    </row>
    <row r="24" spans="1:13" x14ac:dyDescent="0.25">
      <c r="A24" s="18" t="str">
        <f>DataEntry_Standard!A26</f>
        <v>COMP-022</v>
      </c>
      <c r="B24" s="18">
        <f>DataEntry_Standard!C26</f>
        <v>0</v>
      </c>
      <c r="C24" s="24">
        <f>IF(DataEntry_Standard!D26&lt;&gt;"",DataEntry_Standard!D26,0)+IF(DataEntry_Standard!E26&lt;&gt;"",6-DataEntry_Standard!E26,0)+IF(DataEntry_Standard!F26&lt;&gt;"",6-DataEntry_Standard!F26,0)+IF(DataEntry_Standard!G26&lt;&gt;"",DataEntry_Standard!G26,0)+IF(DataEntry_Standard!H26&lt;&gt;"",6-DataEntry_Standard!H26,0)+IF(DataEntry_Standard!I26&lt;&gt;"",DataEntry_Standard!I26,0)+IF(DataEntry_Standard!J26&lt;&gt;"",DataEntry_Standard!J26,0)+IF(DataEntry_Standard!K26&lt;&gt;"",DataEntry_Standard!K26,0)+IF(DataEntry_Standard!L26&lt;&gt;"",DataEntry_Standard!L26,0)+IF(DataEntry_Standard!M26&lt;&gt;"",DataEntry_Standard!M26,0)</f>
        <v>0</v>
      </c>
      <c r="D24" s="24">
        <f>IF(DataEntry_Standard!N26&lt;&gt;"",DataEntry_Standard!N26,0)+IF(DataEntry_Standard!O26&lt;&gt;"",DataEntry_Standard!O26,0)+IF(DataEntry_Standard!P26&lt;&gt;"",DataEntry_Standard!P26,0)+IF(DataEntry_Standard!Q26&lt;&gt;"",6-DataEntry_Standard!Q26,0)+IF(DataEntry_Standard!R26&lt;&gt;"",6-DataEntry_Standard!R26,0)+IF(DataEntry_Standard!S26&lt;&gt;"",6-DataEntry_Standard!S26,0)+IF(DataEntry_Standard!T26&lt;&gt;"",DataEntry_Standard!T26,0)+IF(DataEntry_Standard!U26&lt;&gt;"",DataEntry_Standard!U26,0)+IF(DataEntry_Standard!V26&lt;&gt;"",DataEntry_Standard!V26,0)</f>
        <v>0</v>
      </c>
      <c r="E24" s="24">
        <f>IF(DataEntry_Standard!W26&lt;&gt;"",DataEntry_Standard!W26,0)+IF(DataEntry_Standard!X26&lt;&gt;"",6-DataEntry_Standard!X26,0)+IF(DataEntry_Standard!Y26&lt;&gt;"",6-DataEntry_Standard!Y26,0)+IF(DataEntry_Standard!Z26&lt;&gt;"",DataEntry_Standard!Z26,0)+IF(DataEntry_Standard!AA26&lt;&gt;"",6-DataEntry_Standard!AA26,0)+IF(DataEntry_Standard!AB26&lt;&gt;"",DataEntry_Standard!AB26,0)+IF(DataEntry_Standard!AC26&lt;&gt;"",DataEntry_Standard!AC26,0)+IF(DataEntry_Standard!AD26&lt;&gt;"",DataEntry_Standard!AD26,0)</f>
        <v>0</v>
      </c>
      <c r="F24" s="24">
        <f>IF(DataEntry_Standard!AE26&lt;&gt;"",DataEntry_Standard!AE26,0)+IF(DataEntry_Standard!AF26&lt;&gt;"",DataEntry_Standard!AF26,0)+IF(DataEntry_Standard!AG26&lt;&gt;"",6-DataEntry_Standard!AG26,0)+IF(DataEntry_Standard!AH26&lt;&gt;"",DataEntry_Standard!AH26,0)+IF(DataEntry_Standard!AI26&lt;&gt;"",6-DataEntry_Standard!AI26,0)</f>
        <v>0</v>
      </c>
      <c r="G24" s="24">
        <f>IF(DataEntry_Standard!AJ26&lt;&gt;"",DataEntry_Standard!AJ26,0)+IF(DataEntry_Standard!AK26&lt;&gt;"",6-DataEntry_Standard!AK26,0)+IF(DataEntry_Standard!AL26&lt;&gt;"",DataEntry_Standard!AL26,0)</f>
        <v>0</v>
      </c>
      <c r="H24" s="24">
        <f t="shared" si="0"/>
        <v>0</v>
      </c>
      <c r="I24" s="24">
        <f>IF(DataEntry_Standard!D26&gt;=4,1,0)+IF(DataEntry_Standard!G26&gt;=4,1,0)+IF(DataEntry_Standard!I26&gt;=4,1,0)+IF(DataEntry_Standard!J26&gt;=4,1,0)+IF(DataEntry_Standard!K26&gt;=4,1,0)+IF(DataEntry_Standard!L26&gt;=4,1,0)+IF(DataEntry_Standard!M26&gt;=4,1,0)+IF(DataEntry_Standard!N26&gt;=4,1,0)+IF(DataEntry_Standard!O26&gt;=4,1,0)+IF(DataEntry_Standard!P26&gt;=4,1,0)+IF(DataEntry_Standard!T26&gt;=4,1,0)+IF(DataEntry_Standard!U26&gt;=4,1,0)+IF(DataEntry_Standard!V26&gt;=4,1,0)+IF(DataEntry_Standard!W26&gt;=4,1,0)+IF(DataEntry_Standard!Z26&gt;=4,1,0)+IF(DataEntry_Standard!AB26&gt;=4,1,0)+IF(DataEntry_Standard!AC26&gt;=4,1,0)+IF(DataEntry_Standard!AD26&gt;=4,1,0)+IF(DataEntry_Standard!AE26&gt;=4,1,0)+IF(DataEntry_Standard!AF26&gt;=4,1,0)+IF(DataEntry_Standard!AH26&gt;=4,1,0)+IF(DataEntry_Standard!AJ26&gt;=4,1,0)+IF(DataEntry_Standard!AL26&gt;=4,1,0)+IF(DataEntry_Standard!AI26&lt;=2,1,0)+IF(DataEntry_Standard!E26&lt;=2,1,0)+IF(DataEntry_Standard!F26&lt;=2,1,0)+IF(DataEntry_Standard!AK26&lt;=2,1,0)+IF(DataEntry_Standard!H26&lt;=2,1,0)+IF(DataEntry_Standard!Q26&lt;=2,1,0)+IF(DataEntry_Standard!R26&lt;=2,1,0)+IF(DataEntry_Standard!S26&lt;=2,1,0)+IF(DataEntry_Standard!X26&lt;=2,1,0)+IF(DataEntry_Standard!Y26&lt;=2,1,0)+IF(DataEntry_Standard!AA26&lt;=2,1,0)+IF(DataEntry_Standard!AG26&lt;=2,1,0)</f>
        <v>12</v>
      </c>
      <c r="J24" s="24">
        <f>IF(DataEntry_SmartICT!D26&lt;&gt;"",DataEntry_SmartICT!D26,0)+IF(DataEntry_SmartICT!E26&lt;&gt;"",DataEntry_SmartICT!E26,0)+IF(DataEntry_SmartICT!F26&lt;&gt;"",6-DataEntry_SmartICT!F26,0)+IF(DataEntry_SmartICT!G26&lt;&gt;"",6-DataEntry_SmartICT!G26,0)+IF(DataEntry_SmartICT!H26&lt;&gt;"",DataEntry_SmartICT!H26,0)+IF(DataEntry_SmartICT!I26&lt;&gt;"",DataEntry_SmartICT!I26,0)+IF(DataEntry_SmartICT!J26&lt;&gt;"",6-DataEntry_SmartICT!J26,0)+IF(DataEntry_SmartICT!K26&lt;&gt;"",DataEntry_SmartICT!K26,0)+IF(DataEntry_SmartICT!L26&lt;&gt;"",6-DataEntry_SmartICT!L26,0)+IF(DataEntry_SmartICT!M26&lt;&gt;"",DataEntry_SmartICT!M26,0)+IF(DataEntry_SmartICT!N26&lt;&gt;"",6-DataEntry_SmartICT!N26,0)+IF(DataEntry_SmartICT!O26&lt;&gt;"",6-DataEntry_SmartICT!O26,0)+IF(DataEntry_SmartICT!P26&lt;&gt;"",6-DataEntry_SmartICT!P26,0)+IF(DataEntry_SmartICT!Q26&lt;&gt;"",6-DataEntry_SmartICT!Q26,0)+IF(DataEntry_SmartICT!R26&lt;&gt;"",6-DataEntry_SmartICT!R26,0)+IF(DataEntry_SmartICT!S26&lt;&gt;"",6-DataEntry_SmartICT!S26,0)+IF(DataEntry_SmartICT!T26&lt;&gt;"",6-DataEntry_SmartICT!T26,0)+IF(DataEntry_SmartICT!U26&lt;&gt;"",6-DataEntry_SmartICT!U26,0)+IF(DataEntry_SmartICT!V26&lt;&gt;"",DataEntry_SmartICT!V26,0)+IF(DataEntry_SmartICT!W26&lt;&gt;"",DataEntry_SmartICT!W26,0)+IF(DataEntry_SmartICT!X26&lt;&gt;"",DataEntry_SmartICT!X26,0)+IF(DataEntry_SmartICT!Y26&lt;&gt;"",6-DataEntry_SmartICT!Y26,0)+IF(DataEntry_SmartICT!Z26&lt;&gt;"",6-DataEntry_SmartICT!Z26,0)+IF(DataEntry_SmartICT!AA26&lt;&gt;"",DataEntry_SmartICT!AA26,0)+IF(DataEntry_SmartICT!AB26&lt;&gt;"",DataEntry_SmartICT!AB26,0)+IF(DataEntry_SmartICT!AC26&lt;&gt;"",6-DataEntry_SmartICT!AC26,0)+IF(DataEntry_SmartICT!AD26&lt;&gt;"",DataEntry_SmartICT!AD26,0)</f>
        <v>0</v>
      </c>
      <c r="K24" s="24">
        <f t="shared" si="1"/>
        <v>0</v>
      </c>
      <c r="L24" s="25" t="str">
        <f>IF(H24="","",IF(H24/35&lt;=Configurazione!C21,"Trascurabile",IF(H24/35&lt;=Configurazione!C22,"Moderato","Rilevante")))</f>
        <v>Trascurabile</v>
      </c>
      <c r="M24" s="25" t="str">
        <f>IF(J24=0,"N/A",IF(J24/27&lt;=Configurazione!C26,"Trascurabile",IF(J24/27&lt;=Configurazione!C27,"Moderato","Rilevante")))</f>
        <v>N/A</v>
      </c>
    </row>
    <row r="25" spans="1:13" x14ac:dyDescent="0.25">
      <c r="A25" s="18" t="str">
        <f>DataEntry_Standard!A27</f>
        <v>COMP-023</v>
      </c>
      <c r="B25" s="18">
        <f>DataEntry_Standard!C27</f>
        <v>0</v>
      </c>
      <c r="C25" s="24">
        <f>IF(DataEntry_Standard!D27&lt;&gt;"",DataEntry_Standard!D27,0)+IF(DataEntry_Standard!E27&lt;&gt;"",6-DataEntry_Standard!E27,0)+IF(DataEntry_Standard!F27&lt;&gt;"",6-DataEntry_Standard!F27,0)+IF(DataEntry_Standard!G27&lt;&gt;"",DataEntry_Standard!G27,0)+IF(DataEntry_Standard!H27&lt;&gt;"",6-DataEntry_Standard!H27,0)+IF(DataEntry_Standard!I27&lt;&gt;"",DataEntry_Standard!I27,0)+IF(DataEntry_Standard!J27&lt;&gt;"",DataEntry_Standard!J27,0)+IF(DataEntry_Standard!K27&lt;&gt;"",DataEntry_Standard!K27,0)+IF(DataEntry_Standard!L27&lt;&gt;"",DataEntry_Standard!L27,0)+IF(DataEntry_Standard!M27&lt;&gt;"",DataEntry_Standard!M27,0)</f>
        <v>0</v>
      </c>
      <c r="D25" s="24">
        <f>IF(DataEntry_Standard!N27&lt;&gt;"",DataEntry_Standard!N27,0)+IF(DataEntry_Standard!O27&lt;&gt;"",DataEntry_Standard!O27,0)+IF(DataEntry_Standard!P27&lt;&gt;"",DataEntry_Standard!P27,0)+IF(DataEntry_Standard!Q27&lt;&gt;"",6-DataEntry_Standard!Q27,0)+IF(DataEntry_Standard!R27&lt;&gt;"",6-DataEntry_Standard!R27,0)+IF(DataEntry_Standard!S27&lt;&gt;"",6-DataEntry_Standard!S27,0)+IF(DataEntry_Standard!T27&lt;&gt;"",DataEntry_Standard!T27,0)+IF(DataEntry_Standard!U27&lt;&gt;"",DataEntry_Standard!U27,0)+IF(DataEntry_Standard!V27&lt;&gt;"",DataEntry_Standard!V27,0)</f>
        <v>0</v>
      </c>
      <c r="E25" s="24">
        <f>IF(DataEntry_Standard!W27&lt;&gt;"",DataEntry_Standard!W27,0)+IF(DataEntry_Standard!X27&lt;&gt;"",6-DataEntry_Standard!X27,0)+IF(DataEntry_Standard!Y27&lt;&gt;"",6-DataEntry_Standard!Y27,0)+IF(DataEntry_Standard!Z27&lt;&gt;"",DataEntry_Standard!Z27,0)+IF(DataEntry_Standard!AA27&lt;&gt;"",6-DataEntry_Standard!AA27,0)+IF(DataEntry_Standard!AB27&lt;&gt;"",DataEntry_Standard!AB27,0)+IF(DataEntry_Standard!AC27&lt;&gt;"",DataEntry_Standard!AC27,0)+IF(DataEntry_Standard!AD27&lt;&gt;"",DataEntry_Standard!AD27,0)</f>
        <v>0</v>
      </c>
      <c r="F25" s="24">
        <f>IF(DataEntry_Standard!AE27&lt;&gt;"",DataEntry_Standard!AE27,0)+IF(DataEntry_Standard!AF27&lt;&gt;"",DataEntry_Standard!AF27,0)+IF(DataEntry_Standard!AG27&lt;&gt;"",6-DataEntry_Standard!AG27,0)+IF(DataEntry_Standard!AH27&lt;&gt;"",DataEntry_Standard!AH27,0)+IF(DataEntry_Standard!AI27&lt;&gt;"",6-DataEntry_Standard!AI27,0)</f>
        <v>0</v>
      </c>
      <c r="G25" s="24">
        <f>IF(DataEntry_Standard!AJ27&lt;&gt;"",DataEntry_Standard!AJ27,0)+IF(DataEntry_Standard!AK27&lt;&gt;"",6-DataEntry_Standard!AK27,0)+IF(DataEntry_Standard!AL27&lt;&gt;"",DataEntry_Standard!AL27,0)</f>
        <v>0</v>
      </c>
      <c r="H25" s="24">
        <f t="shared" si="0"/>
        <v>0</v>
      </c>
      <c r="I25" s="24">
        <f>IF(DataEntry_Standard!D27&gt;=4,1,0)+IF(DataEntry_Standard!G27&gt;=4,1,0)+IF(DataEntry_Standard!I27&gt;=4,1,0)+IF(DataEntry_Standard!J27&gt;=4,1,0)+IF(DataEntry_Standard!K27&gt;=4,1,0)+IF(DataEntry_Standard!L27&gt;=4,1,0)+IF(DataEntry_Standard!M27&gt;=4,1,0)+IF(DataEntry_Standard!N27&gt;=4,1,0)+IF(DataEntry_Standard!O27&gt;=4,1,0)+IF(DataEntry_Standard!P27&gt;=4,1,0)+IF(DataEntry_Standard!T27&gt;=4,1,0)+IF(DataEntry_Standard!U27&gt;=4,1,0)+IF(DataEntry_Standard!V27&gt;=4,1,0)+IF(DataEntry_Standard!W27&gt;=4,1,0)+IF(DataEntry_Standard!Z27&gt;=4,1,0)+IF(DataEntry_Standard!AB27&gt;=4,1,0)+IF(DataEntry_Standard!AC27&gt;=4,1,0)+IF(DataEntry_Standard!AD27&gt;=4,1,0)+IF(DataEntry_Standard!AE27&gt;=4,1,0)+IF(DataEntry_Standard!AF27&gt;=4,1,0)+IF(DataEntry_Standard!AH27&gt;=4,1,0)+IF(DataEntry_Standard!AJ27&gt;=4,1,0)+IF(DataEntry_Standard!AL27&gt;=4,1,0)+IF(DataEntry_Standard!AI27&lt;=2,1,0)+IF(DataEntry_Standard!E27&lt;=2,1,0)+IF(DataEntry_Standard!F27&lt;=2,1,0)+IF(DataEntry_Standard!AK27&lt;=2,1,0)+IF(DataEntry_Standard!H27&lt;=2,1,0)+IF(DataEntry_Standard!Q27&lt;=2,1,0)+IF(DataEntry_Standard!R27&lt;=2,1,0)+IF(DataEntry_Standard!S27&lt;=2,1,0)+IF(DataEntry_Standard!X27&lt;=2,1,0)+IF(DataEntry_Standard!Y27&lt;=2,1,0)+IF(DataEntry_Standard!AA27&lt;=2,1,0)+IF(DataEntry_Standard!AG27&lt;=2,1,0)</f>
        <v>12</v>
      </c>
      <c r="J25" s="24">
        <f>IF(DataEntry_SmartICT!D27&lt;&gt;"",DataEntry_SmartICT!D27,0)+IF(DataEntry_SmartICT!E27&lt;&gt;"",DataEntry_SmartICT!E27,0)+IF(DataEntry_SmartICT!F27&lt;&gt;"",6-DataEntry_SmartICT!F27,0)+IF(DataEntry_SmartICT!G27&lt;&gt;"",6-DataEntry_SmartICT!G27,0)+IF(DataEntry_SmartICT!H27&lt;&gt;"",DataEntry_SmartICT!H27,0)+IF(DataEntry_SmartICT!I27&lt;&gt;"",DataEntry_SmartICT!I27,0)+IF(DataEntry_SmartICT!J27&lt;&gt;"",6-DataEntry_SmartICT!J27,0)+IF(DataEntry_SmartICT!K27&lt;&gt;"",DataEntry_SmartICT!K27,0)+IF(DataEntry_SmartICT!L27&lt;&gt;"",6-DataEntry_SmartICT!L27,0)+IF(DataEntry_SmartICT!M27&lt;&gt;"",DataEntry_SmartICT!M27,0)+IF(DataEntry_SmartICT!N27&lt;&gt;"",6-DataEntry_SmartICT!N27,0)+IF(DataEntry_SmartICT!O27&lt;&gt;"",6-DataEntry_SmartICT!O27,0)+IF(DataEntry_SmartICT!P27&lt;&gt;"",6-DataEntry_SmartICT!P27,0)+IF(DataEntry_SmartICT!Q27&lt;&gt;"",6-DataEntry_SmartICT!Q27,0)+IF(DataEntry_SmartICT!R27&lt;&gt;"",6-DataEntry_SmartICT!R27,0)+IF(DataEntry_SmartICT!S27&lt;&gt;"",6-DataEntry_SmartICT!S27,0)+IF(DataEntry_SmartICT!T27&lt;&gt;"",6-DataEntry_SmartICT!T27,0)+IF(DataEntry_SmartICT!U27&lt;&gt;"",6-DataEntry_SmartICT!U27,0)+IF(DataEntry_SmartICT!V27&lt;&gt;"",DataEntry_SmartICT!V27,0)+IF(DataEntry_SmartICT!W27&lt;&gt;"",DataEntry_SmartICT!W27,0)+IF(DataEntry_SmartICT!X27&lt;&gt;"",DataEntry_SmartICT!X27,0)+IF(DataEntry_SmartICT!Y27&lt;&gt;"",6-DataEntry_SmartICT!Y27,0)+IF(DataEntry_SmartICT!Z27&lt;&gt;"",6-DataEntry_SmartICT!Z27,0)+IF(DataEntry_SmartICT!AA27&lt;&gt;"",DataEntry_SmartICT!AA27,0)+IF(DataEntry_SmartICT!AB27&lt;&gt;"",DataEntry_SmartICT!AB27,0)+IF(DataEntry_SmartICT!AC27&lt;&gt;"",6-DataEntry_SmartICT!AC27,0)+IF(DataEntry_SmartICT!AD27&lt;&gt;"",DataEntry_SmartICT!AD27,0)</f>
        <v>0</v>
      </c>
      <c r="K25" s="24">
        <f t="shared" si="1"/>
        <v>0</v>
      </c>
      <c r="L25" s="25" t="str">
        <f>IF(H25="","",IF(H25/35&lt;=Configurazione!C21,"Trascurabile",IF(H25/35&lt;=Configurazione!C22,"Moderato","Rilevante")))</f>
        <v>Trascurabile</v>
      </c>
      <c r="M25" s="25" t="str">
        <f>IF(J25=0,"N/A",IF(J25/27&lt;=Configurazione!C26,"Trascurabile",IF(J25/27&lt;=Configurazione!C27,"Moderato","Rilevante")))</f>
        <v>N/A</v>
      </c>
    </row>
    <row r="26" spans="1:13" x14ac:dyDescent="0.25">
      <c r="A26" s="18" t="str">
        <f>DataEntry_Standard!A28</f>
        <v>COMP-024</v>
      </c>
      <c r="B26" s="18">
        <f>DataEntry_Standard!C28</f>
        <v>0</v>
      </c>
      <c r="C26" s="24">
        <f>IF(DataEntry_Standard!D28&lt;&gt;"",DataEntry_Standard!D28,0)+IF(DataEntry_Standard!E28&lt;&gt;"",6-DataEntry_Standard!E28,0)+IF(DataEntry_Standard!F28&lt;&gt;"",6-DataEntry_Standard!F28,0)+IF(DataEntry_Standard!G28&lt;&gt;"",DataEntry_Standard!G28,0)+IF(DataEntry_Standard!H28&lt;&gt;"",6-DataEntry_Standard!H28,0)+IF(DataEntry_Standard!I28&lt;&gt;"",DataEntry_Standard!I28,0)+IF(DataEntry_Standard!J28&lt;&gt;"",DataEntry_Standard!J28,0)+IF(DataEntry_Standard!K28&lt;&gt;"",DataEntry_Standard!K28,0)+IF(DataEntry_Standard!L28&lt;&gt;"",DataEntry_Standard!L28,0)+IF(DataEntry_Standard!M28&lt;&gt;"",DataEntry_Standard!M28,0)</f>
        <v>0</v>
      </c>
      <c r="D26" s="24">
        <f>IF(DataEntry_Standard!N28&lt;&gt;"",DataEntry_Standard!N28,0)+IF(DataEntry_Standard!O28&lt;&gt;"",DataEntry_Standard!O28,0)+IF(DataEntry_Standard!P28&lt;&gt;"",DataEntry_Standard!P28,0)+IF(DataEntry_Standard!Q28&lt;&gt;"",6-DataEntry_Standard!Q28,0)+IF(DataEntry_Standard!R28&lt;&gt;"",6-DataEntry_Standard!R28,0)+IF(DataEntry_Standard!S28&lt;&gt;"",6-DataEntry_Standard!S28,0)+IF(DataEntry_Standard!T28&lt;&gt;"",DataEntry_Standard!T28,0)+IF(DataEntry_Standard!U28&lt;&gt;"",DataEntry_Standard!U28,0)+IF(DataEntry_Standard!V28&lt;&gt;"",DataEntry_Standard!V28,0)</f>
        <v>0</v>
      </c>
      <c r="E26" s="24">
        <f>IF(DataEntry_Standard!W28&lt;&gt;"",DataEntry_Standard!W28,0)+IF(DataEntry_Standard!X28&lt;&gt;"",6-DataEntry_Standard!X28,0)+IF(DataEntry_Standard!Y28&lt;&gt;"",6-DataEntry_Standard!Y28,0)+IF(DataEntry_Standard!Z28&lt;&gt;"",DataEntry_Standard!Z28,0)+IF(DataEntry_Standard!AA28&lt;&gt;"",6-DataEntry_Standard!AA28,0)+IF(DataEntry_Standard!AB28&lt;&gt;"",DataEntry_Standard!AB28,0)+IF(DataEntry_Standard!AC28&lt;&gt;"",DataEntry_Standard!AC28,0)+IF(DataEntry_Standard!AD28&lt;&gt;"",DataEntry_Standard!AD28,0)</f>
        <v>0</v>
      </c>
      <c r="F26" s="24">
        <f>IF(DataEntry_Standard!AE28&lt;&gt;"",DataEntry_Standard!AE28,0)+IF(DataEntry_Standard!AF28&lt;&gt;"",DataEntry_Standard!AF28,0)+IF(DataEntry_Standard!AG28&lt;&gt;"",6-DataEntry_Standard!AG28,0)+IF(DataEntry_Standard!AH28&lt;&gt;"",DataEntry_Standard!AH28,0)+IF(DataEntry_Standard!AI28&lt;&gt;"",6-DataEntry_Standard!AI28,0)</f>
        <v>0</v>
      </c>
      <c r="G26" s="24">
        <f>IF(DataEntry_Standard!AJ28&lt;&gt;"",DataEntry_Standard!AJ28,0)+IF(DataEntry_Standard!AK28&lt;&gt;"",6-DataEntry_Standard!AK28,0)+IF(DataEntry_Standard!AL28&lt;&gt;"",DataEntry_Standard!AL28,0)</f>
        <v>0</v>
      </c>
      <c r="H26" s="24">
        <f t="shared" si="0"/>
        <v>0</v>
      </c>
      <c r="I26" s="24">
        <f>IF(DataEntry_Standard!D28&gt;=4,1,0)+IF(DataEntry_Standard!G28&gt;=4,1,0)+IF(DataEntry_Standard!I28&gt;=4,1,0)+IF(DataEntry_Standard!J28&gt;=4,1,0)+IF(DataEntry_Standard!K28&gt;=4,1,0)+IF(DataEntry_Standard!L28&gt;=4,1,0)+IF(DataEntry_Standard!M28&gt;=4,1,0)+IF(DataEntry_Standard!N28&gt;=4,1,0)+IF(DataEntry_Standard!O28&gt;=4,1,0)+IF(DataEntry_Standard!P28&gt;=4,1,0)+IF(DataEntry_Standard!T28&gt;=4,1,0)+IF(DataEntry_Standard!U28&gt;=4,1,0)+IF(DataEntry_Standard!V28&gt;=4,1,0)+IF(DataEntry_Standard!W28&gt;=4,1,0)+IF(DataEntry_Standard!Z28&gt;=4,1,0)+IF(DataEntry_Standard!AB28&gt;=4,1,0)+IF(DataEntry_Standard!AC28&gt;=4,1,0)+IF(DataEntry_Standard!AD28&gt;=4,1,0)+IF(DataEntry_Standard!AE28&gt;=4,1,0)+IF(DataEntry_Standard!AF28&gt;=4,1,0)+IF(DataEntry_Standard!AH28&gt;=4,1,0)+IF(DataEntry_Standard!AJ28&gt;=4,1,0)+IF(DataEntry_Standard!AL28&gt;=4,1,0)+IF(DataEntry_Standard!AI28&lt;=2,1,0)+IF(DataEntry_Standard!E28&lt;=2,1,0)+IF(DataEntry_Standard!F28&lt;=2,1,0)+IF(DataEntry_Standard!AK28&lt;=2,1,0)+IF(DataEntry_Standard!H28&lt;=2,1,0)+IF(DataEntry_Standard!Q28&lt;=2,1,0)+IF(DataEntry_Standard!R28&lt;=2,1,0)+IF(DataEntry_Standard!S28&lt;=2,1,0)+IF(DataEntry_Standard!X28&lt;=2,1,0)+IF(DataEntry_Standard!Y28&lt;=2,1,0)+IF(DataEntry_Standard!AA28&lt;=2,1,0)+IF(DataEntry_Standard!AG28&lt;=2,1,0)</f>
        <v>12</v>
      </c>
      <c r="J26" s="24">
        <f>IF(DataEntry_SmartICT!D28&lt;&gt;"",DataEntry_SmartICT!D28,0)+IF(DataEntry_SmartICT!E28&lt;&gt;"",DataEntry_SmartICT!E28,0)+IF(DataEntry_SmartICT!F28&lt;&gt;"",6-DataEntry_SmartICT!F28,0)+IF(DataEntry_SmartICT!G28&lt;&gt;"",6-DataEntry_SmartICT!G28,0)+IF(DataEntry_SmartICT!H28&lt;&gt;"",DataEntry_SmartICT!H28,0)+IF(DataEntry_SmartICT!I28&lt;&gt;"",DataEntry_SmartICT!I28,0)+IF(DataEntry_SmartICT!J28&lt;&gt;"",6-DataEntry_SmartICT!J28,0)+IF(DataEntry_SmartICT!K28&lt;&gt;"",DataEntry_SmartICT!K28,0)+IF(DataEntry_SmartICT!L28&lt;&gt;"",6-DataEntry_SmartICT!L28,0)+IF(DataEntry_SmartICT!M28&lt;&gt;"",DataEntry_SmartICT!M28,0)+IF(DataEntry_SmartICT!N28&lt;&gt;"",6-DataEntry_SmartICT!N28,0)+IF(DataEntry_SmartICT!O28&lt;&gt;"",6-DataEntry_SmartICT!O28,0)+IF(DataEntry_SmartICT!P28&lt;&gt;"",6-DataEntry_SmartICT!P28,0)+IF(DataEntry_SmartICT!Q28&lt;&gt;"",6-DataEntry_SmartICT!Q28,0)+IF(DataEntry_SmartICT!R28&lt;&gt;"",6-DataEntry_SmartICT!R28,0)+IF(DataEntry_SmartICT!S28&lt;&gt;"",6-DataEntry_SmartICT!S28,0)+IF(DataEntry_SmartICT!T28&lt;&gt;"",6-DataEntry_SmartICT!T28,0)+IF(DataEntry_SmartICT!U28&lt;&gt;"",6-DataEntry_SmartICT!U28,0)+IF(DataEntry_SmartICT!V28&lt;&gt;"",DataEntry_SmartICT!V28,0)+IF(DataEntry_SmartICT!W28&lt;&gt;"",DataEntry_SmartICT!W28,0)+IF(DataEntry_SmartICT!X28&lt;&gt;"",DataEntry_SmartICT!X28,0)+IF(DataEntry_SmartICT!Y28&lt;&gt;"",6-DataEntry_SmartICT!Y28,0)+IF(DataEntry_SmartICT!Z28&lt;&gt;"",6-DataEntry_SmartICT!Z28,0)+IF(DataEntry_SmartICT!AA28&lt;&gt;"",DataEntry_SmartICT!AA28,0)+IF(DataEntry_SmartICT!AB28&lt;&gt;"",DataEntry_SmartICT!AB28,0)+IF(DataEntry_SmartICT!AC28&lt;&gt;"",6-DataEntry_SmartICT!AC28,0)+IF(DataEntry_SmartICT!AD28&lt;&gt;"",DataEntry_SmartICT!AD28,0)</f>
        <v>0</v>
      </c>
      <c r="K26" s="24">
        <f t="shared" si="1"/>
        <v>0</v>
      </c>
      <c r="L26" s="25" t="str">
        <f>IF(H26="","",IF(H26/35&lt;=Configurazione!C21,"Trascurabile",IF(H26/35&lt;=Configurazione!C22,"Moderato","Rilevante")))</f>
        <v>Trascurabile</v>
      </c>
      <c r="M26" s="25" t="str">
        <f>IF(J26=0,"N/A",IF(J26/27&lt;=Configurazione!C26,"Trascurabile",IF(J26/27&lt;=Configurazione!C27,"Moderato","Rilevante")))</f>
        <v>N/A</v>
      </c>
    </row>
    <row r="27" spans="1:13" x14ac:dyDescent="0.25">
      <c r="A27" s="18" t="str">
        <f>DataEntry_Standard!A29</f>
        <v>COMP-025</v>
      </c>
      <c r="B27" s="18">
        <f>DataEntry_Standard!C29</f>
        <v>0</v>
      </c>
      <c r="C27" s="24">
        <f>IF(DataEntry_Standard!D29&lt;&gt;"",DataEntry_Standard!D29,0)+IF(DataEntry_Standard!E29&lt;&gt;"",6-DataEntry_Standard!E29,0)+IF(DataEntry_Standard!F29&lt;&gt;"",6-DataEntry_Standard!F29,0)+IF(DataEntry_Standard!G29&lt;&gt;"",DataEntry_Standard!G29,0)+IF(DataEntry_Standard!H29&lt;&gt;"",6-DataEntry_Standard!H29,0)+IF(DataEntry_Standard!I29&lt;&gt;"",DataEntry_Standard!I29,0)+IF(DataEntry_Standard!J29&lt;&gt;"",DataEntry_Standard!J29,0)+IF(DataEntry_Standard!K29&lt;&gt;"",DataEntry_Standard!K29,0)+IF(DataEntry_Standard!L29&lt;&gt;"",DataEntry_Standard!L29,0)+IF(DataEntry_Standard!M29&lt;&gt;"",DataEntry_Standard!M29,0)</f>
        <v>0</v>
      </c>
      <c r="D27" s="24">
        <f>IF(DataEntry_Standard!N29&lt;&gt;"",DataEntry_Standard!N29,0)+IF(DataEntry_Standard!O29&lt;&gt;"",DataEntry_Standard!O29,0)+IF(DataEntry_Standard!P29&lt;&gt;"",DataEntry_Standard!P29,0)+IF(DataEntry_Standard!Q29&lt;&gt;"",6-DataEntry_Standard!Q29,0)+IF(DataEntry_Standard!R29&lt;&gt;"",6-DataEntry_Standard!R29,0)+IF(DataEntry_Standard!S29&lt;&gt;"",6-DataEntry_Standard!S29,0)+IF(DataEntry_Standard!T29&lt;&gt;"",DataEntry_Standard!T29,0)+IF(DataEntry_Standard!U29&lt;&gt;"",DataEntry_Standard!U29,0)+IF(DataEntry_Standard!V29&lt;&gt;"",DataEntry_Standard!V29,0)</f>
        <v>0</v>
      </c>
      <c r="E27" s="24">
        <f>IF(DataEntry_Standard!W29&lt;&gt;"",DataEntry_Standard!W29,0)+IF(DataEntry_Standard!X29&lt;&gt;"",6-DataEntry_Standard!X29,0)+IF(DataEntry_Standard!Y29&lt;&gt;"",6-DataEntry_Standard!Y29,0)+IF(DataEntry_Standard!Z29&lt;&gt;"",DataEntry_Standard!Z29,0)+IF(DataEntry_Standard!AA29&lt;&gt;"",6-DataEntry_Standard!AA29,0)+IF(DataEntry_Standard!AB29&lt;&gt;"",DataEntry_Standard!AB29,0)+IF(DataEntry_Standard!AC29&lt;&gt;"",DataEntry_Standard!AC29,0)+IF(DataEntry_Standard!AD29&lt;&gt;"",DataEntry_Standard!AD29,0)</f>
        <v>0</v>
      </c>
      <c r="F27" s="24">
        <f>IF(DataEntry_Standard!AE29&lt;&gt;"",DataEntry_Standard!AE29,0)+IF(DataEntry_Standard!AF29&lt;&gt;"",DataEntry_Standard!AF29,0)+IF(DataEntry_Standard!AG29&lt;&gt;"",6-DataEntry_Standard!AG29,0)+IF(DataEntry_Standard!AH29&lt;&gt;"",DataEntry_Standard!AH29,0)+IF(DataEntry_Standard!AI29&lt;&gt;"",6-DataEntry_Standard!AI29,0)</f>
        <v>0</v>
      </c>
      <c r="G27" s="24">
        <f>IF(DataEntry_Standard!AJ29&lt;&gt;"",DataEntry_Standard!AJ29,0)+IF(DataEntry_Standard!AK29&lt;&gt;"",6-DataEntry_Standard!AK29,0)+IF(DataEntry_Standard!AL29&lt;&gt;"",DataEntry_Standard!AL29,0)</f>
        <v>0</v>
      </c>
      <c r="H27" s="24">
        <f t="shared" si="0"/>
        <v>0</v>
      </c>
      <c r="I27" s="24">
        <f>IF(DataEntry_Standard!D29&gt;=4,1,0)+IF(DataEntry_Standard!G29&gt;=4,1,0)+IF(DataEntry_Standard!I29&gt;=4,1,0)+IF(DataEntry_Standard!J29&gt;=4,1,0)+IF(DataEntry_Standard!K29&gt;=4,1,0)+IF(DataEntry_Standard!L29&gt;=4,1,0)+IF(DataEntry_Standard!M29&gt;=4,1,0)+IF(DataEntry_Standard!N29&gt;=4,1,0)+IF(DataEntry_Standard!O29&gt;=4,1,0)+IF(DataEntry_Standard!P29&gt;=4,1,0)+IF(DataEntry_Standard!T29&gt;=4,1,0)+IF(DataEntry_Standard!U29&gt;=4,1,0)+IF(DataEntry_Standard!V29&gt;=4,1,0)+IF(DataEntry_Standard!W29&gt;=4,1,0)+IF(DataEntry_Standard!Z29&gt;=4,1,0)+IF(DataEntry_Standard!AB29&gt;=4,1,0)+IF(DataEntry_Standard!AC29&gt;=4,1,0)+IF(DataEntry_Standard!AD29&gt;=4,1,0)+IF(DataEntry_Standard!AE29&gt;=4,1,0)+IF(DataEntry_Standard!AF29&gt;=4,1,0)+IF(DataEntry_Standard!AH29&gt;=4,1,0)+IF(DataEntry_Standard!AJ29&gt;=4,1,0)+IF(DataEntry_Standard!AL29&gt;=4,1,0)+IF(DataEntry_Standard!AI29&lt;=2,1,0)+IF(DataEntry_Standard!E29&lt;=2,1,0)+IF(DataEntry_Standard!F29&lt;=2,1,0)+IF(DataEntry_Standard!AK29&lt;=2,1,0)+IF(DataEntry_Standard!H29&lt;=2,1,0)+IF(DataEntry_Standard!Q29&lt;=2,1,0)+IF(DataEntry_Standard!R29&lt;=2,1,0)+IF(DataEntry_Standard!S29&lt;=2,1,0)+IF(DataEntry_Standard!X29&lt;=2,1,0)+IF(DataEntry_Standard!Y29&lt;=2,1,0)+IF(DataEntry_Standard!AA29&lt;=2,1,0)+IF(DataEntry_Standard!AG29&lt;=2,1,0)</f>
        <v>12</v>
      </c>
      <c r="J27" s="24">
        <f>IF(DataEntry_SmartICT!D29&lt;&gt;"",DataEntry_SmartICT!D29,0)+IF(DataEntry_SmartICT!E29&lt;&gt;"",DataEntry_SmartICT!E29,0)+IF(DataEntry_SmartICT!F29&lt;&gt;"",6-DataEntry_SmartICT!F29,0)+IF(DataEntry_SmartICT!G29&lt;&gt;"",6-DataEntry_SmartICT!G29,0)+IF(DataEntry_SmartICT!H29&lt;&gt;"",DataEntry_SmartICT!H29,0)+IF(DataEntry_SmartICT!I29&lt;&gt;"",DataEntry_SmartICT!I29,0)+IF(DataEntry_SmartICT!J29&lt;&gt;"",6-DataEntry_SmartICT!J29,0)+IF(DataEntry_SmartICT!K29&lt;&gt;"",DataEntry_SmartICT!K29,0)+IF(DataEntry_SmartICT!L29&lt;&gt;"",6-DataEntry_SmartICT!L29,0)+IF(DataEntry_SmartICT!M29&lt;&gt;"",DataEntry_SmartICT!M29,0)+IF(DataEntry_SmartICT!N29&lt;&gt;"",6-DataEntry_SmartICT!N29,0)+IF(DataEntry_SmartICT!O29&lt;&gt;"",6-DataEntry_SmartICT!O29,0)+IF(DataEntry_SmartICT!P29&lt;&gt;"",6-DataEntry_SmartICT!P29,0)+IF(DataEntry_SmartICT!Q29&lt;&gt;"",6-DataEntry_SmartICT!Q29,0)+IF(DataEntry_SmartICT!R29&lt;&gt;"",6-DataEntry_SmartICT!R29,0)+IF(DataEntry_SmartICT!S29&lt;&gt;"",6-DataEntry_SmartICT!S29,0)+IF(DataEntry_SmartICT!T29&lt;&gt;"",6-DataEntry_SmartICT!T29,0)+IF(DataEntry_SmartICT!U29&lt;&gt;"",6-DataEntry_SmartICT!U29,0)+IF(DataEntry_SmartICT!V29&lt;&gt;"",DataEntry_SmartICT!V29,0)+IF(DataEntry_SmartICT!W29&lt;&gt;"",DataEntry_SmartICT!W29,0)+IF(DataEntry_SmartICT!X29&lt;&gt;"",DataEntry_SmartICT!X29,0)+IF(DataEntry_SmartICT!Y29&lt;&gt;"",6-DataEntry_SmartICT!Y29,0)+IF(DataEntry_SmartICT!Z29&lt;&gt;"",6-DataEntry_SmartICT!Z29,0)+IF(DataEntry_SmartICT!AA29&lt;&gt;"",DataEntry_SmartICT!AA29,0)+IF(DataEntry_SmartICT!AB29&lt;&gt;"",DataEntry_SmartICT!AB29,0)+IF(DataEntry_SmartICT!AC29&lt;&gt;"",6-DataEntry_SmartICT!AC29,0)+IF(DataEntry_SmartICT!AD29&lt;&gt;"",DataEntry_SmartICT!AD29,0)</f>
        <v>0</v>
      </c>
      <c r="K27" s="24">
        <f t="shared" si="1"/>
        <v>0</v>
      </c>
      <c r="L27" s="25" t="str">
        <f>IF(H27="","",IF(H27/35&lt;=Configurazione!C21,"Trascurabile",IF(H27/35&lt;=Configurazione!C22,"Moderato","Rilevante")))</f>
        <v>Trascurabile</v>
      </c>
      <c r="M27" s="25" t="str">
        <f>IF(J27=0,"N/A",IF(J27/27&lt;=Configurazione!C26,"Trascurabile",IF(J27/27&lt;=Configurazione!C27,"Moderato","Rilevante")))</f>
        <v>N/A</v>
      </c>
    </row>
    <row r="28" spans="1:13" x14ac:dyDescent="0.25">
      <c r="A28" s="18" t="str">
        <f>DataEntry_Standard!A30</f>
        <v>COMP-026</v>
      </c>
      <c r="B28" s="18">
        <f>DataEntry_Standard!C30</f>
        <v>0</v>
      </c>
      <c r="C28" s="24">
        <f>IF(DataEntry_Standard!D30&lt;&gt;"",DataEntry_Standard!D30,0)+IF(DataEntry_Standard!E30&lt;&gt;"",6-DataEntry_Standard!E30,0)+IF(DataEntry_Standard!F30&lt;&gt;"",6-DataEntry_Standard!F30,0)+IF(DataEntry_Standard!G30&lt;&gt;"",DataEntry_Standard!G30,0)+IF(DataEntry_Standard!H30&lt;&gt;"",6-DataEntry_Standard!H30,0)+IF(DataEntry_Standard!I30&lt;&gt;"",DataEntry_Standard!I30,0)+IF(DataEntry_Standard!J30&lt;&gt;"",DataEntry_Standard!J30,0)+IF(DataEntry_Standard!K30&lt;&gt;"",DataEntry_Standard!K30,0)+IF(DataEntry_Standard!L30&lt;&gt;"",DataEntry_Standard!L30,0)+IF(DataEntry_Standard!M30&lt;&gt;"",DataEntry_Standard!M30,0)</f>
        <v>0</v>
      </c>
      <c r="D28" s="24">
        <f>IF(DataEntry_Standard!N30&lt;&gt;"",DataEntry_Standard!N30,0)+IF(DataEntry_Standard!O30&lt;&gt;"",DataEntry_Standard!O30,0)+IF(DataEntry_Standard!P30&lt;&gt;"",DataEntry_Standard!P30,0)+IF(DataEntry_Standard!Q30&lt;&gt;"",6-DataEntry_Standard!Q30,0)+IF(DataEntry_Standard!R30&lt;&gt;"",6-DataEntry_Standard!R30,0)+IF(DataEntry_Standard!S30&lt;&gt;"",6-DataEntry_Standard!S30,0)+IF(DataEntry_Standard!T30&lt;&gt;"",DataEntry_Standard!T30,0)+IF(DataEntry_Standard!U30&lt;&gt;"",DataEntry_Standard!U30,0)+IF(DataEntry_Standard!V30&lt;&gt;"",DataEntry_Standard!V30,0)</f>
        <v>0</v>
      </c>
      <c r="E28" s="24">
        <f>IF(DataEntry_Standard!W30&lt;&gt;"",DataEntry_Standard!W30,0)+IF(DataEntry_Standard!X30&lt;&gt;"",6-DataEntry_Standard!X30,0)+IF(DataEntry_Standard!Y30&lt;&gt;"",6-DataEntry_Standard!Y30,0)+IF(DataEntry_Standard!Z30&lt;&gt;"",DataEntry_Standard!Z30,0)+IF(DataEntry_Standard!AA30&lt;&gt;"",6-DataEntry_Standard!AA30,0)+IF(DataEntry_Standard!AB30&lt;&gt;"",DataEntry_Standard!AB30,0)+IF(DataEntry_Standard!AC30&lt;&gt;"",DataEntry_Standard!AC30,0)+IF(DataEntry_Standard!AD30&lt;&gt;"",DataEntry_Standard!AD30,0)</f>
        <v>0</v>
      </c>
      <c r="F28" s="24">
        <f>IF(DataEntry_Standard!AE30&lt;&gt;"",DataEntry_Standard!AE30,0)+IF(DataEntry_Standard!AF30&lt;&gt;"",DataEntry_Standard!AF30,0)+IF(DataEntry_Standard!AG30&lt;&gt;"",6-DataEntry_Standard!AG30,0)+IF(DataEntry_Standard!AH30&lt;&gt;"",DataEntry_Standard!AH30,0)+IF(DataEntry_Standard!AI30&lt;&gt;"",6-DataEntry_Standard!AI30,0)</f>
        <v>0</v>
      </c>
      <c r="G28" s="24">
        <f>IF(DataEntry_Standard!AJ30&lt;&gt;"",DataEntry_Standard!AJ30,0)+IF(DataEntry_Standard!AK30&lt;&gt;"",6-DataEntry_Standard!AK30,0)+IF(DataEntry_Standard!AL30&lt;&gt;"",DataEntry_Standard!AL30,0)</f>
        <v>0</v>
      </c>
      <c r="H28" s="24">
        <f t="shared" si="0"/>
        <v>0</v>
      </c>
      <c r="I28" s="24">
        <f>IF(DataEntry_Standard!D30&gt;=4,1,0)+IF(DataEntry_Standard!G30&gt;=4,1,0)+IF(DataEntry_Standard!I30&gt;=4,1,0)+IF(DataEntry_Standard!J30&gt;=4,1,0)+IF(DataEntry_Standard!K30&gt;=4,1,0)+IF(DataEntry_Standard!L30&gt;=4,1,0)+IF(DataEntry_Standard!M30&gt;=4,1,0)+IF(DataEntry_Standard!N30&gt;=4,1,0)+IF(DataEntry_Standard!O30&gt;=4,1,0)+IF(DataEntry_Standard!P30&gt;=4,1,0)+IF(DataEntry_Standard!T30&gt;=4,1,0)+IF(DataEntry_Standard!U30&gt;=4,1,0)+IF(DataEntry_Standard!V30&gt;=4,1,0)+IF(DataEntry_Standard!W30&gt;=4,1,0)+IF(DataEntry_Standard!Z30&gt;=4,1,0)+IF(DataEntry_Standard!AB30&gt;=4,1,0)+IF(DataEntry_Standard!AC30&gt;=4,1,0)+IF(DataEntry_Standard!AD30&gt;=4,1,0)+IF(DataEntry_Standard!AE30&gt;=4,1,0)+IF(DataEntry_Standard!AF30&gt;=4,1,0)+IF(DataEntry_Standard!AH30&gt;=4,1,0)+IF(DataEntry_Standard!AJ30&gt;=4,1,0)+IF(DataEntry_Standard!AL30&gt;=4,1,0)+IF(DataEntry_Standard!AI30&lt;=2,1,0)+IF(DataEntry_Standard!E30&lt;=2,1,0)+IF(DataEntry_Standard!F30&lt;=2,1,0)+IF(DataEntry_Standard!AK30&lt;=2,1,0)+IF(DataEntry_Standard!H30&lt;=2,1,0)+IF(DataEntry_Standard!Q30&lt;=2,1,0)+IF(DataEntry_Standard!R30&lt;=2,1,0)+IF(DataEntry_Standard!S30&lt;=2,1,0)+IF(DataEntry_Standard!X30&lt;=2,1,0)+IF(DataEntry_Standard!Y30&lt;=2,1,0)+IF(DataEntry_Standard!AA30&lt;=2,1,0)+IF(DataEntry_Standard!AG30&lt;=2,1,0)</f>
        <v>12</v>
      </c>
      <c r="J28" s="24">
        <f>IF(DataEntry_SmartICT!D30&lt;&gt;"",DataEntry_SmartICT!D30,0)+IF(DataEntry_SmartICT!E30&lt;&gt;"",DataEntry_SmartICT!E30,0)+IF(DataEntry_SmartICT!F30&lt;&gt;"",6-DataEntry_SmartICT!F30,0)+IF(DataEntry_SmartICT!G30&lt;&gt;"",6-DataEntry_SmartICT!G30,0)+IF(DataEntry_SmartICT!H30&lt;&gt;"",DataEntry_SmartICT!H30,0)+IF(DataEntry_SmartICT!I30&lt;&gt;"",DataEntry_SmartICT!I30,0)+IF(DataEntry_SmartICT!J30&lt;&gt;"",6-DataEntry_SmartICT!J30,0)+IF(DataEntry_SmartICT!K30&lt;&gt;"",DataEntry_SmartICT!K30,0)+IF(DataEntry_SmartICT!L30&lt;&gt;"",6-DataEntry_SmartICT!L30,0)+IF(DataEntry_SmartICT!M30&lt;&gt;"",DataEntry_SmartICT!M30,0)+IF(DataEntry_SmartICT!N30&lt;&gt;"",6-DataEntry_SmartICT!N30,0)+IF(DataEntry_SmartICT!O30&lt;&gt;"",6-DataEntry_SmartICT!O30,0)+IF(DataEntry_SmartICT!P30&lt;&gt;"",6-DataEntry_SmartICT!P30,0)+IF(DataEntry_SmartICT!Q30&lt;&gt;"",6-DataEntry_SmartICT!Q30,0)+IF(DataEntry_SmartICT!R30&lt;&gt;"",6-DataEntry_SmartICT!R30,0)+IF(DataEntry_SmartICT!S30&lt;&gt;"",6-DataEntry_SmartICT!S30,0)+IF(DataEntry_SmartICT!T30&lt;&gt;"",6-DataEntry_SmartICT!T30,0)+IF(DataEntry_SmartICT!U30&lt;&gt;"",6-DataEntry_SmartICT!U30,0)+IF(DataEntry_SmartICT!V30&lt;&gt;"",DataEntry_SmartICT!V30,0)+IF(DataEntry_SmartICT!W30&lt;&gt;"",DataEntry_SmartICT!W30,0)+IF(DataEntry_SmartICT!X30&lt;&gt;"",DataEntry_SmartICT!X30,0)+IF(DataEntry_SmartICT!Y30&lt;&gt;"",6-DataEntry_SmartICT!Y30,0)+IF(DataEntry_SmartICT!Z30&lt;&gt;"",6-DataEntry_SmartICT!Z30,0)+IF(DataEntry_SmartICT!AA30&lt;&gt;"",DataEntry_SmartICT!AA30,0)+IF(DataEntry_SmartICT!AB30&lt;&gt;"",DataEntry_SmartICT!AB30,0)+IF(DataEntry_SmartICT!AC30&lt;&gt;"",6-DataEntry_SmartICT!AC30,0)+IF(DataEntry_SmartICT!AD30&lt;&gt;"",DataEntry_SmartICT!AD30,0)</f>
        <v>0</v>
      </c>
      <c r="K28" s="24">
        <f t="shared" si="1"/>
        <v>0</v>
      </c>
      <c r="L28" s="25" t="str">
        <f>IF(H28="","",IF(H28/35&lt;=Configurazione!C21,"Trascurabile",IF(H28/35&lt;=Configurazione!C22,"Moderato","Rilevante")))</f>
        <v>Trascurabile</v>
      </c>
      <c r="M28" s="25" t="str">
        <f>IF(J28=0,"N/A",IF(J28/27&lt;=Configurazione!C26,"Trascurabile",IF(J28/27&lt;=Configurazione!C27,"Moderato","Rilevante")))</f>
        <v>N/A</v>
      </c>
    </row>
    <row r="29" spans="1:13" x14ac:dyDescent="0.25">
      <c r="A29" s="18" t="str">
        <f>DataEntry_Standard!A31</f>
        <v>COMP-027</v>
      </c>
      <c r="B29" s="18">
        <f>DataEntry_Standard!C31</f>
        <v>0</v>
      </c>
      <c r="C29" s="24">
        <f>IF(DataEntry_Standard!D31&lt;&gt;"",DataEntry_Standard!D31,0)+IF(DataEntry_Standard!E31&lt;&gt;"",6-DataEntry_Standard!E31,0)+IF(DataEntry_Standard!F31&lt;&gt;"",6-DataEntry_Standard!F31,0)+IF(DataEntry_Standard!G31&lt;&gt;"",DataEntry_Standard!G31,0)+IF(DataEntry_Standard!H31&lt;&gt;"",6-DataEntry_Standard!H31,0)+IF(DataEntry_Standard!I31&lt;&gt;"",DataEntry_Standard!I31,0)+IF(DataEntry_Standard!J31&lt;&gt;"",DataEntry_Standard!J31,0)+IF(DataEntry_Standard!K31&lt;&gt;"",DataEntry_Standard!K31,0)+IF(DataEntry_Standard!L31&lt;&gt;"",DataEntry_Standard!L31,0)+IF(DataEntry_Standard!M31&lt;&gt;"",DataEntry_Standard!M31,0)</f>
        <v>0</v>
      </c>
      <c r="D29" s="24">
        <f>IF(DataEntry_Standard!N31&lt;&gt;"",DataEntry_Standard!N31,0)+IF(DataEntry_Standard!O31&lt;&gt;"",DataEntry_Standard!O31,0)+IF(DataEntry_Standard!P31&lt;&gt;"",DataEntry_Standard!P31,0)+IF(DataEntry_Standard!Q31&lt;&gt;"",6-DataEntry_Standard!Q31,0)+IF(DataEntry_Standard!R31&lt;&gt;"",6-DataEntry_Standard!R31,0)+IF(DataEntry_Standard!S31&lt;&gt;"",6-DataEntry_Standard!S31,0)+IF(DataEntry_Standard!T31&lt;&gt;"",DataEntry_Standard!T31,0)+IF(DataEntry_Standard!U31&lt;&gt;"",DataEntry_Standard!U31,0)+IF(DataEntry_Standard!V31&lt;&gt;"",DataEntry_Standard!V31,0)</f>
        <v>0</v>
      </c>
      <c r="E29" s="24">
        <f>IF(DataEntry_Standard!W31&lt;&gt;"",DataEntry_Standard!W31,0)+IF(DataEntry_Standard!X31&lt;&gt;"",6-DataEntry_Standard!X31,0)+IF(DataEntry_Standard!Y31&lt;&gt;"",6-DataEntry_Standard!Y31,0)+IF(DataEntry_Standard!Z31&lt;&gt;"",DataEntry_Standard!Z31,0)+IF(DataEntry_Standard!AA31&lt;&gt;"",6-DataEntry_Standard!AA31,0)+IF(DataEntry_Standard!AB31&lt;&gt;"",DataEntry_Standard!AB31,0)+IF(DataEntry_Standard!AC31&lt;&gt;"",DataEntry_Standard!AC31,0)+IF(DataEntry_Standard!AD31&lt;&gt;"",DataEntry_Standard!AD31,0)</f>
        <v>0</v>
      </c>
      <c r="F29" s="24">
        <f>IF(DataEntry_Standard!AE31&lt;&gt;"",DataEntry_Standard!AE31,0)+IF(DataEntry_Standard!AF31&lt;&gt;"",DataEntry_Standard!AF31,0)+IF(DataEntry_Standard!AG31&lt;&gt;"",6-DataEntry_Standard!AG31,0)+IF(DataEntry_Standard!AH31&lt;&gt;"",DataEntry_Standard!AH31,0)+IF(DataEntry_Standard!AI31&lt;&gt;"",6-DataEntry_Standard!AI31,0)</f>
        <v>0</v>
      </c>
      <c r="G29" s="24">
        <f>IF(DataEntry_Standard!AJ31&lt;&gt;"",DataEntry_Standard!AJ31,0)+IF(DataEntry_Standard!AK31&lt;&gt;"",6-DataEntry_Standard!AK31,0)+IF(DataEntry_Standard!AL31&lt;&gt;"",DataEntry_Standard!AL31,0)</f>
        <v>0</v>
      </c>
      <c r="H29" s="24">
        <f t="shared" si="0"/>
        <v>0</v>
      </c>
      <c r="I29" s="24">
        <f>IF(DataEntry_Standard!D31&gt;=4,1,0)+IF(DataEntry_Standard!G31&gt;=4,1,0)+IF(DataEntry_Standard!I31&gt;=4,1,0)+IF(DataEntry_Standard!J31&gt;=4,1,0)+IF(DataEntry_Standard!K31&gt;=4,1,0)+IF(DataEntry_Standard!L31&gt;=4,1,0)+IF(DataEntry_Standard!M31&gt;=4,1,0)+IF(DataEntry_Standard!N31&gt;=4,1,0)+IF(DataEntry_Standard!O31&gt;=4,1,0)+IF(DataEntry_Standard!P31&gt;=4,1,0)+IF(DataEntry_Standard!T31&gt;=4,1,0)+IF(DataEntry_Standard!U31&gt;=4,1,0)+IF(DataEntry_Standard!V31&gt;=4,1,0)+IF(DataEntry_Standard!W31&gt;=4,1,0)+IF(DataEntry_Standard!Z31&gt;=4,1,0)+IF(DataEntry_Standard!AB31&gt;=4,1,0)+IF(DataEntry_Standard!AC31&gt;=4,1,0)+IF(DataEntry_Standard!AD31&gt;=4,1,0)+IF(DataEntry_Standard!AE31&gt;=4,1,0)+IF(DataEntry_Standard!AF31&gt;=4,1,0)+IF(DataEntry_Standard!AH31&gt;=4,1,0)+IF(DataEntry_Standard!AJ31&gt;=4,1,0)+IF(DataEntry_Standard!AL31&gt;=4,1,0)+IF(DataEntry_Standard!AI31&lt;=2,1,0)+IF(DataEntry_Standard!E31&lt;=2,1,0)+IF(DataEntry_Standard!F31&lt;=2,1,0)+IF(DataEntry_Standard!AK31&lt;=2,1,0)+IF(DataEntry_Standard!H31&lt;=2,1,0)+IF(DataEntry_Standard!Q31&lt;=2,1,0)+IF(DataEntry_Standard!R31&lt;=2,1,0)+IF(DataEntry_Standard!S31&lt;=2,1,0)+IF(DataEntry_Standard!X31&lt;=2,1,0)+IF(DataEntry_Standard!Y31&lt;=2,1,0)+IF(DataEntry_Standard!AA31&lt;=2,1,0)+IF(DataEntry_Standard!AG31&lt;=2,1,0)</f>
        <v>12</v>
      </c>
      <c r="J29" s="24">
        <f>IF(DataEntry_SmartICT!D31&lt;&gt;"",DataEntry_SmartICT!D31,0)+IF(DataEntry_SmartICT!E31&lt;&gt;"",DataEntry_SmartICT!E31,0)+IF(DataEntry_SmartICT!F31&lt;&gt;"",6-DataEntry_SmartICT!F31,0)+IF(DataEntry_SmartICT!G31&lt;&gt;"",6-DataEntry_SmartICT!G31,0)+IF(DataEntry_SmartICT!H31&lt;&gt;"",DataEntry_SmartICT!H31,0)+IF(DataEntry_SmartICT!I31&lt;&gt;"",DataEntry_SmartICT!I31,0)+IF(DataEntry_SmartICT!J31&lt;&gt;"",6-DataEntry_SmartICT!J31,0)+IF(DataEntry_SmartICT!K31&lt;&gt;"",DataEntry_SmartICT!K31,0)+IF(DataEntry_SmartICT!L31&lt;&gt;"",6-DataEntry_SmartICT!L31,0)+IF(DataEntry_SmartICT!M31&lt;&gt;"",DataEntry_SmartICT!M31,0)+IF(DataEntry_SmartICT!N31&lt;&gt;"",6-DataEntry_SmartICT!N31,0)+IF(DataEntry_SmartICT!O31&lt;&gt;"",6-DataEntry_SmartICT!O31,0)+IF(DataEntry_SmartICT!P31&lt;&gt;"",6-DataEntry_SmartICT!P31,0)+IF(DataEntry_SmartICT!Q31&lt;&gt;"",6-DataEntry_SmartICT!Q31,0)+IF(DataEntry_SmartICT!R31&lt;&gt;"",6-DataEntry_SmartICT!R31,0)+IF(DataEntry_SmartICT!S31&lt;&gt;"",6-DataEntry_SmartICT!S31,0)+IF(DataEntry_SmartICT!T31&lt;&gt;"",6-DataEntry_SmartICT!T31,0)+IF(DataEntry_SmartICT!U31&lt;&gt;"",6-DataEntry_SmartICT!U31,0)+IF(DataEntry_SmartICT!V31&lt;&gt;"",DataEntry_SmartICT!V31,0)+IF(DataEntry_SmartICT!W31&lt;&gt;"",DataEntry_SmartICT!W31,0)+IF(DataEntry_SmartICT!X31&lt;&gt;"",DataEntry_SmartICT!X31,0)+IF(DataEntry_SmartICT!Y31&lt;&gt;"",6-DataEntry_SmartICT!Y31,0)+IF(DataEntry_SmartICT!Z31&lt;&gt;"",6-DataEntry_SmartICT!Z31,0)+IF(DataEntry_SmartICT!AA31&lt;&gt;"",DataEntry_SmartICT!AA31,0)+IF(DataEntry_SmartICT!AB31&lt;&gt;"",DataEntry_SmartICT!AB31,0)+IF(DataEntry_SmartICT!AC31&lt;&gt;"",6-DataEntry_SmartICT!AC31,0)+IF(DataEntry_SmartICT!AD31&lt;&gt;"",DataEntry_SmartICT!AD31,0)</f>
        <v>0</v>
      </c>
      <c r="K29" s="24">
        <f t="shared" si="1"/>
        <v>0</v>
      </c>
      <c r="L29" s="25" t="str">
        <f>IF(H29="","",IF(H29/35&lt;=Configurazione!C21,"Trascurabile",IF(H29/35&lt;=Configurazione!C22,"Moderato","Rilevante")))</f>
        <v>Trascurabile</v>
      </c>
      <c r="M29" s="25" t="str">
        <f>IF(J29=0,"N/A",IF(J29/27&lt;=Configurazione!C26,"Trascurabile",IF(J29/27&lt;=Configurazione!C27,"Moderato","Rilevante")))</f>
        <v>N/A</v>
      </c>
    </row>
    <row r="30" spans="1:13" x14ac:dyDescent="0.25">
      <c r="A30" s="18" t="str">
        <f>DataEntry_Standard!A32</f>
        <v>COMP-028</v>
      </c>
      <c r="B30" s="18">
        <f>DataEntry_Standard!C32</f>
        <v>0</v>
      </c>
      <c r="C30" s="24">
        <f>IF(DataEntry_Standard!D32&lt;&gt;"",DataEntry_Standard!D32,0)+IF(DataEntry_Standard!E32&lt;&gt;"",6-DataEntry_Standard!E32,0)+IF(DataEntry_Standard!F32&lt;&gt;"",6-DataEntry_Standard!F32,0)+IF(DataEntry_Standard!G32&lt;&gt;"",DataEntry_Standard!G32,0)+IF(DataEntry_Standard!H32&lt;&gt;"",6-DataEntry_Standard!H32,0)+IF(DataEntry_Standard!I32&lt;&gt;"",DataEntry_Standard!I32,0)+IF(DataEntry_Standard!J32&lt;&gt;"",DataEntry_Standard!J32,0)+IF(DataEntry_Standard!K32&lt;&gt;"",DataEntry_Standard!K32,0)+IF(DataEntry_Standard!L32&lt;&gt;"",DataEntry_Standard!L32,0)+IF(DataEntry_Standard!M32&lt;&gt;"",DataEntry_Standard!M32,0)</f>
        <v>0</v>
      </c>
      <c r="D30" s="24">
        <f>IF(DataEntry_Standard!N32&lt;&gt;"",DataEntry_Standard!N32,0)+IF(DataEntry_Standard!O32&lt;&gt;"",DataEntry_Standard!O32,0)+IF(DataEntry_Standard!P32&lt;&gt;"",DataEntry_Standard!P32,0)+IF(DataEntry_Standard!Q32&lt;&gt;"",6-DataEntry_Standard!Q32,0)+IF(DataEntry_Standard!R32&lt;&gt;"",6-DataEntry_Standard!R32,0)+IF(DataEntry_Standard!S32&lt;&gt;"",6-DataEntry_Standard!S32,0)+IF(DataEntry_Standard!T32&lt;&gt;"",DataEntry_Standard!T32,0)+IF(DataEntry_Standard!U32&lt;&gt;"",DataEntry_Standard!U32,0)+IF(DataEntry_Standard!V32&lt;&gt;"",DataEntry_Standard!V32,0)</f>
        <v>0</v>
      </c>
      <c r="E30" s="24">
        <f>IF(DataEntry_Standard!W32&lt;&gt;"",DataEntry_Standard!W32,0)+IF(DataEntry_Standard!X32&lt;&gt;"",6-DataEntry_Standard!X32,0)+IF(DataEntry_Standard!Y32&lt;&gt;"",6-DataEntry_Standard!Y32,0)+IF(DataEntry_Standard!Z32&lt;&gt;"",DataEntry_Standard!Z32,0)+IF(DataEntry_Standard!AA32&lt;&gt;"",6-DataEntry_Standard!AA32,0)+IF(DataEntry_Standard!AB32&lt;&gt;"",DataEntry_Standard!AB32,0)+IF(DataEntry_Standard!AC32&lt;&gt;"",DataEntry_Standard!AC32,0)+IF(DataEntry_Standard!AD32&lt;&gt;"",DataEntry_Standard!AD32,0)</f>
        <v>0</v>
      </c>
      <c r="F30" s="24">
        <f>IF(DataEntry_Standard!AE32&lt;&gt;"",DataEntry_Standard!AE32,0)+IF(DataEntry_Standard!AF32&lt;&gt;"",DataEntry_Standard!AF32,0)+IF(DataEntry_Standard!AG32&lt;&gt;"",6-DataEntry_Standard!AG32,0)+IF(DataEntry_Standard!AH32&lt;&gt;"",DataEntry_Standard!AH32,0)+IF(DataEntry_Standard!AI32&lt;&gt;"",6-DataEntry_Standard!AI32,0)</f>
        <v>0</v>
      </c>
      <c r="G30" s="24">
        <f>IF(DataEntry_Standard!AJ32&lt;&gt;"",DataEntry_Standard!AJ32,0)+IF(DataEntry_Standard!AK32&lt;&gt;"",6-DataEntry_Standard!AK32,0)+IF(DataEntry_Standard!AL32&lt;&gt;"",DataEntry_Standard!AL32,0)</f>
        <v>0</v>
      </c>
      <c r="H30" s="24">
        <f t="shared" si="0"/>
        <v>0</v>
      </c>
      <c r="I30" s="24">
        <f>IF(DataEntry_Standard!D32&gt;=4,1,0)+IF(DataEntry_Standard!G32&gt;=4,1,0)+IF(DataEntry_Standard!I32&gt;=4,1,0)+IF(DataEntry_Standard!J32&gt;=4,1,0)+IF(DataEntry_Standard!K32&gt;=4,1,0)+IF(DataEntry_Standard!L32&gt;=4,1,0)+IF(DataEntry_Standard!M32&gt;=4,1,0)+IF(DataEntry_Standard!N32&gt;=4,1,0)+IF(DataEntry_Standard!O32&gt;=4,1,0)+IF(DataEntry_Standard!P32&gt;=4,1,0)+IF(DataEntry_Standard!T32&gt;=4,1,0)+IF(DataEntry_Standard!U32&gt;=4,1,0)+IF(DataEntry_Standard!V32&gt;=4,1,0)+IF(DataEntry_Standard!W32&gt;=4,1,0)+IF(DataEntry_Standard!Z32&gt;=4,1,0)+IF(DataEntry_Standard!AB32&gt;=4,1,0)+IF(DataEntry_Standard!AC32&gt;=4,1,0)+IF(DataEntry_Standard!AD32&gt;=4,1,0)+IF(DataEntry_Standard!AE32&gt;=4,1,0)+IF(DataEntry_Standard!AF32&gt;=4,1,0)+IF(DataEntry_Standard!AH32&gt;=4,1,0)+IF(DataEntry_Standard!AJ32&gt;=4,1,0)+IF(DataEntry_Standard!AL32&gt;=4,1,0)+IF(DataEntry_Standard!AI32&lt;=2,1,0)+IF(DataEntry_Standard!E32&lt;=2,1,0)+IF(DataEntry_Standard!F32&lt;=2,1,0)+IF(DataEntry_Standard!AK32&lt;=2,1,0)+IF(DataEntry_Standard!H32&lt;=2,1,0)+IF(DataEntry_Standard!Q32&lt;=2,1,0)+IF(DataEntry_Standard!R32&lt;=2,1,0)+IF(DataEntry_Standard!S32&lt;=2,1,0)+IF(DataEntry_Standard!X32&lt;=2,1,0)+IF(DataEntry_Standard!Y32&lt;=2,1,0)+IF(DataEntry_Standard!AA32&lt;=2,1,0)+IF(DataEntry_Standard!AG32&lt;=2,1,0)</f>
        <v>12</v>
      </c>
      <c r="J30" s="24">
        <f>IF(DataEntry_SmartICT!D32&lt;&gt;"",DataEntry_SmartICT!D32,0)+IF(DataEntry_SmartICT!E32&lt;&gt;"",DataEntry_SmartICT!E32,0)+IF(DataEntry_SmartICT!F32&lt;&gt;"",6-DataEntry_SmartICT!F32,0)+IF(DataEntry_SmartICT!G32&lt;&gt;"",6-DataEntry_SmartICT!G32,0)+IF(DataEntry_SmartICT!H32&lt;&gt;"",DataEntry_SmartICT!H32,0)+IF(DataEntry_SmartICT!I32&lt;&gt;"",DataEntry_SmartICT!I32,0)+IF(DataEntry_SmartICT!J32&lt;&gt;"",6-DataEntry_SmartICT!J32,0)+IF(DataEntry_SmartICT!K32&lt;&gt;"",DataEntry_SmartICT!K32,0)+IF(DataEntry_SmartICT!L32&lt;&gt;"",6-DataEntry_SmartICT!L32,0)+IF(DataEntry_SmartICT!M32&lt;&gt;"",DataEntry_SmartICT!M32,0)+IF(DataEntry_SmartICT!N32&lt;&gt;"",6-DataEntry_SmartICT!N32,0)+IF(DataEntry_SmartICT!O32&lt;&gt;"",6-DataEntry_SmartICT!O32,0)+IF(DataEntry_SmartICT!P32&lt;&gt;"",6-DataEntry_SmartICT!P32,0)+IF(DataEntry_SmartICT!Q32&lt;&gt;"",6-DataEntry_SmartICT!Q32,0)+IF(DataEntry_SmartICT!R32&lt;&gt;"",6-DataEntry_SmartICT!R32,0)+IF(DataEntry_SmartICT!S32&lt;&gt;"",6-DataEntry_SmartICT!S32,0)+IF(DataEntry_SmartICT!T32&lt;&gt;"",6-DataEntry_SmartICT!T32,0)+IF(DataEntry_SmartICT!U32&lt;&gt;"",6-DataEntry_SmartICT!U32,0)+IF(DataEntry_SmartICT!V32&lt;&gt;"",DataEntry_SmartICT!V32,0)+IF(DataEntry_SmartICT!W32&lt;&gt;"",DataEntry_SmartICT!W32,0)+IF(DataEntry_SmartICT!X32&lt;&gt;"",DataEntry_SmartICT!X32,0)+IF(DataEntry_SmartICT!Y32&lt;&gt;"",6-DataEntry_SmartICT!Y32,0)+IF(DataEntry_SmartICT!Z32&lt;&gt;"",6-DataEntry_SmartICT!Z32,0)+IF(DataEntry_SmartICT!AA32&lt;&gt;"",DataEntry_SmartICT!AA32,0)+IF(DataEntry_SmartICT!AB32&lt;&gt;"",DataEntry_SmartICT!AB32,0)+IF(DataEntry_SmartICT!AC32&lt;&gt;"",6-DataEntry_SmartICT!AC32,0)+IF(DataEntry_SmartICT!AD32&lt;&gt;"",DataEntry_SmartICT!AD32,0)</f>
        <v>0</v>
      </c>
      <c r="K30" s="24">
        <f t="shared" si="1"/>
        <v>0</v>
      </c>
      <c r="L30" s="25" t="str">
        <f>IF(H30="","",IF(H30/35&lt;=Configurazione!C21,"Trascurabile",IF(H30/35&lt;=Configurazione!C22,"Moderato","Rilevante")))</f>
        <v>Trascurabile</v>
      </c>
      <c r="M30" s="25" t="str">
        <f>IF(J30=0,"N/A",IF(J30/27&lt;=Configurazione!C26,"Trascurabile",IF(J30/27&lt;=Configurazione!C27,"Moderato","Rilevante")))</f>
        <v>N/A</v>
      </c>
    </row>
    <row r="31" spans="1:13" x14ac:dyDescent="0.25">
      <c r="A31" s="18" t="str">
        <f>DataEntry_Standard!A33</f>
        <v>COMP-029</v>
      </c>
      <c r="B31" s="18">
        <f>DataEntry_Standard!C33</f>
        <v>0</v>
      </c>
      <c r="C31" s="24">
        <f>IF(DataEntry_Standard!D33&lt;&gt;"",DataEntry_Standard!D33,0)+IF(DataEntry_Standard!E33&lt;&gt;"",6-DataEntry_Standard!E33,0)+IF(DataEntry_Standard!F33&lt;&gt;"",6-DataEntry_Standard!F33,0)+IF(DataEntry_Standard!G33&lt;&gt;"",DataEntry_Standard!G33,0)+IF(DataEntry_Standard!H33&lt;&gt;"",6-DataEntry_Standard!H33,0)+IF(DataEntry_Standard!I33&lt;&gt;"",DataEntry_Standard!I33,0)+IF(DataEntry_Standard!J33&lt;&gt;"",DataEntry_Standard!J33,0)+IF(DataEntry_Standard!K33&lt;&gt;"",DataEntry_Standard!K33,0)+IF(DataEntry_Standard!L33&lt;&gt;"",DataEntry_Standard!L33,0)+IF(DataEntry_Standard!M33&lt;&gt;"",DataEntry_Standard!M33,0)</f>
        <v>0</v>
      </c>
      <c r="D31" s="24">
        <f>IF(DataEntry_Standard!N33&lt;&gt;"",DataEntry_Standard!N33,0)+IF(DataEntry_Standard!O33&lt;&gt;"",DataEntry_Standard!O33,0)+IF(DataEntry_Standard!P33&lt;&gt;"",DataEntry_Standard!P33,0)+IF(DataEntry_Standard!Q33&lt;&gt;"",6-DataEntry_Standard!Q33,0)+IF(DataEntry_Standard!R33&lt;&gt;"",6-DataEntry_Standard!R33,0)+IF(DataEntry_Standard!S33&lt;&gt;"",6-DataEntry_Standard!S33,0)+IF(DataEntry_Standard!T33&lt;&gt;"",DataEntry_Standard!T33,0)+IF(DataEntry_Standard!U33&lt;&gt;"",DataEntry_Standard!U33,0)+IF(DataEntry_Standard!V33&lt;&gt;"",DataEntry_Standard!V33,0)</f>
        <v>0</v>
      </c>
      <c r="E31" s="24">
        <f>IF(DataEntry_Standard!W33&lt;&gt;"",DataEntry_Standard!W33,0)+IF(DataEntry_Standard!X33&lt;&gt;"",6-DataEntry_Standard!X33,0)+IF(DataEntry_Standard!Y33&lt;&gt;"",6-DataEntry_Standard!Y33,0)+IF(DataEntry_Standard!Z33&lt;&gt;"",DataEntry_Standard!Z33,0)+IF(DataEntry_Standard!AA33&lt;&gt;"",6-DataEntry_Standard!AA33,0)+IF(DataEntry_Standard!AB33&lt;&gt;"",DataEntry_Standard!AB33,0)+IF(DataEntry_Standard!AC33&lt;&gt;"",DataEntry_Standard!AC33,0)+IF(DataEntry_Standard!AD33&lt;&gt;"",DataEntry_Standard!AD33,0)</f>
        <v>0</v>
      </c>
      <c r="F31" s="24">
        <f>IF(DataEntry_Standard!AE33&lt;&gt;"",DataEntry_Standard!AE33,0)+IF(DataEntry_Standard!AF33&lt;&gt;"",DataEntry_Standard!AF33,0)+IF(DataEntry_Standard!AG33&lt;&gt;"",6-DataEntry_Standard!AG33,0)+IF(DataEntry_Standard!AH33&lt;&gt;"",DataEntry_Standard!AH33,0)+IF(DataEntry_Standard!AI33&lt;&gt;"",6-DataEntry_Standard!AI33,0)</f>
        <v>0</v>
      </c>
      <c r="G31" s="24">
        <f>IF(DataEntry_Standard!AJ33&lt;&gt;"",DataEntry_Standard!AJ33,0)+IF(DataEntry_Standard!AK33&lt;&gt;"",6-DataEntry_Standard!AK33,0)+IF(DataEntry_Standard!AL33&lt;&gt;"",DataEntry_Standard!AL33,0)</f>
        <v>0</v>
      </c>
      <c r="H31" s="24">
        <f t="shared" si="0"/>
        <v>0</v>
      </c>
      <c r="I31" s="24">
        <f>IF(DataEntry_Standard!D33&gt;=4,1,0)+IF(DataEntry_Standard!G33&gt;=4,1,0)+IF(DataEntry_Standard!I33&gt;=4,1,0)+IF(DataEntry_Standard!J33&gt;=4,1,0)+IF(DataEntry_Standard!K33&gt;=4,1,0)+IF(DataEntry_Standard!L33&gt;=4,1,0)+IF(DataEntry_Standard!M33&gt;=4,1,0)+IF(DataEntry_Standard!N33&gt;=4,1,0)+IF(DataEntry_Standard!O33&gt;=4,1,0)+IF(DataEntry_Standard!P33&gt;=4,1,0)+IF(DataEntry_Standard!T33&gt;=4,1,0)+IF(DataEntry_Standard!U33&gt;=4,1,0)+IF(DataEntry_Standard!V33&gt;=4,1,0)+IF(DataEntry_Standard!W33&gt;=4,1,0)+IF(DataEntry_Standard!Z33&gt;=4,1,0)+IF(DataEntry_Standard!AB33&gt;=4,1,0)+IF(DataEntry_Standard!AC33&gt;=4,1,0)+IF(DataEntry_Standard!AD33&gt;=4,1,0)+IF(DataEntry_Standard!AE33&gt;=4,1,0)+IF(DataEntry_Standard!AF33&gt;=4,1,0)+IF(DataEntry_Standard!AH33&gt;=4,1,0)+IF(DataEntry_Standard!AJ33&gt;=4,1,0)+IF(DataEntry_Standard!AL33&gt;=4,1,0)+IF(DataEntry_Standard!AI33&lt;=2,1,0)+IF(DataEntry_Standard!E33&lt;=2,1,0)+IF(DataEntry_Standard!F33&lt;=2,1,0)+IF(DataEntry_Standard!AK33&lt;=2,1,0)+IF(DataEntry_Standard!H33&lt;=2,1,0)+IF(DataEntry_Standard!Q33&lt;=2,1,0)+IF(DataEntry_Standard!R33&lt;=2,1,0)+IF(DataEntry_Standard!S33&lt;=2,1,0)+IF(DataEntry_Standard!X33&lt;=2,1,0)+IF(DataEntry_Standard!Y33&lt;=2,1,0)+IF(DataEntry_Standard!AA33&lt;=2,1,0)+IF(DataEntry_Standard!AG33&lt;=2,1,0)</f>
        <v>12</v>
      </c>
      <c r="J31" s="24">
        <f>IF(DataEntry_SmartICT!D33&lt;&gt;"",DataEntry_SmartICT!D33,0)+IF(DataEntry_SmartICT!E33&lt;&gt;"",DataEntry_SmartICT!E33,0)+IF(DataEntry_SmartICT!F33&lt;&gt;"",6-DataEntry_SmartICT!F33,0)+IF(DataEntry_SmartICT!G33&lt;&gt;"",6-DataEntry_SmartICT!G33,0)+IF(DataEntry_SmartICT!H33&lt;&gt;"",DataEntry_SmartICT!H33,0)+IF(DataEntry_SmartICT!I33&lt;&gt;"",DataEntry_SmartICT!I33,0)+IF(DataEntry_SmartICT!J33&lt;&gt;"",6-DataEntry_SmartICT!J33,0)+IF(DataEntry_SmartICT!K33&lt;&gt;"",DataEntry_SmartICT!K33,0)+IF(DataEntry_SmartICT!L33&lt;&gt;"",6-DataEntry_SmartICT!L33,0)+IF(DataEntry_SmartICT!M33&lt;&gt;"",DataEntry_SmartICT!M33,0)+IF(DataEntry_SmartICT!N33&lt;&gt;"",6-DataEntry_SmartICT!N33,0)+IF(DataEntry_SmartICT!O33&lt;&gt;"",6-DataEntry_SmartICT!O33,0)+IF(DataEntry_SmartICT!P33&lt;&gt;"",6-DataEntry_SmartICT!P33,0)+IF(DataEntry_SmartICT!Q33&lt;&gt;"",6-DataEntry_SmartICT!Q33,0)+IF(DataEntry_SmartICT!R33&lt;&gt;"",6-DataEntry_SmartICT!R33,0)+IF(DataEntry_SmartICT!S33&lt;&gt;"",6-DataEntry_SmartICT!S33,0)+IF(DataEntry_SmartICT!T33&lt;&gt;"",6-DataEntry_SmartICT!T33,0)+IF(DataEntry_SmartICT!U33&lt;&gt;"",6-DataEntry_SmartICT!U33,0)+IF(DataEntry_SmartICT!V33&lt;&gt;"",DataEntry_SmartICT!V33,0)+IF(DataEntry_SmartICT!W33&lt;&gt;"",DataEntry_SmartICT!W33,0)+IF(DataEntry_SmartICT!X33&lt;&gt;"",DataEntry_SmartICT!X33,0)+IF(DataEntry_SmartICT!Y33&lt;&gt;"",6-DataEntry_SmartICT!Y33,0)+IF(DataEntry_SmartICT!Z33&lt;&gt;"",6-DataEntry_SmartICT!Z33,0)+IF(DataEntry_SmartICT!AA33&lt;&gt;"",DataEntry_SmartICT!AA33,0)+IF(DataEntry_SmartICT!AB33&lt;&gt;"",DataEntry_SmartICT!AB33,0)+IF(DataEntry_SmartICT!AC33&lt;&gt;"",6-DataEntry_SmartICT!AC33,0)+IF(DataEntry_SmartICT!AD33&lt;&gt;"",DataEntry_SmartICT!AD33,0)</f>
        <v>0</v>
      </c>
      <c r="K31" s="24">
        <f t="shared" si="1"/>
        <v>0</v>
      </c>
      <c r="L31" s="25" t="str">
        <f>IF(H31="","",IF(H31/35&lt;=Configurazione!C21,"Trascurabile",IF(H31/35&lt;=Configurazione!C22,"Moderato","Rilevante")))</f>
        <v>Trascurabile</v>
      </c>
      <c r="M31" s="25" t="str">
        <f>IF(J31=0,"N/A",IF(J31/27&lt;=Configurazione!C26,"Trascurabile",IF(J31/27&lt;=Configurazione!C27,"Moderato","Rilevante")))</f>
        <v>N/A</v>
      </c>
    </row>
    <row r="32" spans="1:13" x14ac:dyDescent="0.25">
      <c r="A32" s="18" t="str">
        <f>DataEntry_Standard!A34</f>
        <v>COMP-030</v>
      </c>
      <c r="B32" s="18">
        <f>DataEntry_Standard!C34</f>
        <v>0</v>
      </c>
      <c r="C32" s="24">
        <f>IF(DataEntry_Standard!D34&lt;&gt;"",DataEntry_Standard!D34,0)+IF(DataEntry_Standard!E34&lt;&gt;"",6-DataEntry_Standard!E34,0)+IF(DataEntry_Standard!F34&lt;&gt;"",6-DataEntry_Standard!F34,0)+IF(DataEntry_Standard!G34&lt;&gt;"",DataEntry_Standard!G34,0)+IF(DataEntry_Standard!H34&lt;&gt;"",6-DataEntry_Standard!H34,0)+IF(DataEntry_Standard!I34&lt;&gt;"",DataEntry_Standard!I34,0)+IF(DataEntry_Standard!J34&lt;&gt;"",DataEntry_Standard!J34,0)+IF(DataEntry_Standard!K34&lt;&gt;"",DataEntry_Standard!K34,0)+IF(DataEntry_Standard!L34&lt;&gt;"",DataEntry_Standard!L34,0)+IF(DataEntry_Standard!M34&lt;&gt;"",DataEntry_Standard!M34,0)</f>
        <v>0</v>
      </c>
      <c r="D32" s="24">
        <f>IF(DataEntry_Standard!N34&lt;&gt;"",DataEntry_Standard!N34,0)+IF(DataEntry_Standard!O34&lt;&gt;"",DataEntry_Standard!O34,0)+IF(DataEntry_Standard!P34&lt;&gt;"",DataEntry_Standard!P34,0)+IF(DataEntry_Standard!Q34&lt;&gt;"",6-DataEntry_Standard!Q34,0)+IF(DataEntry_Standard!R34&lt;&gt;"",6-DataEntry_Standard!R34,0)+IF(DataEntry_Standard!S34&lt;&gt;"",6-DataEntry_Standard!S34,0)+IF(DataEntry_Standard!T34&lt;&gt;"",DataEntry_Standard!T34,0)+IF(DataEntry_Standard!U34&lt;&gt;"",DataEntry_Standard!U34,0)+IF(DataEntry_Standard!V34&lt;&gt;"",DataEntry_Standard!V34,0)</f>
        <v>0</v>
      </c>
      <c r="E32" s="24">
        <f>IF(DataEntry_Standard!W34&lt;&gt;"",DataEntry_Standard!W34,0)+IF(DataEntry_Standard!X34&lt;&gt;"",6-DataEntry_Standard!X34,0)+IF(DataEntry_Standard!Y34&lt;&gt;"",6-DataEntry_Standard!Y34,0)+IF(DataEntry_Standard!Z34&lt;&gt;"",DataEntry_Standard!Z34,0)+IF(DataEntry_Standard!AA34&lt;&gt;"",6-DataEntry_Standard!AA34,0)+IF(DataEntry_Standard!AB34&lt;&gt;"",DataEntry_Standard!AB34,0)+IF(DataEntry_Standard!AC34&lt;&gt;"",DataEntry_Standard!AC34,0)+IF(DataEntry_Standard!AD34&lt;&gt;"",DataEntry_Standard!AD34,0)</f>
        <v>0</v>
      </c>
      <c r="F32" s="24">
        <f>IF(DataEntry_Standard!AE34&lt;&gt;"",DataEntry_Standard!AE34,0)+IF(DataEntry_Standard!AF34&lt;&gt;"",DataEntry_Standard!AF34,0)+IF(DataEntry_Standard!AG34&lt;&gt;"",6-DataEntry_Standard!AG34,0)+IF(DataEntry_Standard!AH34&lt;&gt;"",DataEntry_Standard!AH34,0)+IF(DataEntry_Standard!AI34&lt;&gt;"",6-DataEntry_Standard!AI34,0)</f>
        <v>0</v>
      </c>
      <c r="G32" s="24">
        <f>IF(DataEntry_Standard!AJ34&lt;&gt;"",DataEntry_Standard!AJ34,0)+IF(DataEntry_Standard!AK34&lt;&gt;"",6-DataEntry_Standard!AK34,0)+IF(DataEntry_Standard!AL34&lt;&gt;"",DataEntry_Standard!AL34,0)</f>
        <v>0</v>
      </c>
      <c r="H32" s="24">
        <f t="shared" si="0"/>
        <v>0</v>
      </c>
      <c r="I32" s="24">
        <f>IF(DataEntry_Standard!D34&gt;=4,1,0)+IF(DataEntry_Standard!G34&gt;=4,1,0)+IF(DataEntry_Standard!I34&gt;=4,1,0)+IF(DataEntry_Standard!J34&gt;=4,1,0)+IF(DataEntry_Standard!K34&gt;=4,1,0)+IF(DataEntry_Standard!L34&gt;=4,1,0)+IF(DataEntry_Standard!M34&gt;=4,1,0)+IF(DataEntry_Standard!N34&gt;=4,1,0)+IF(DataEntry_Standard!O34&gt;=4,1,0)+IF(DataEntry_Standard!P34&gt;=4,1,0)+IF(DataEntry_Standard!T34&gt;=4,1,0)+IF(DataEntry_Standard!U34&gt;=4,1,0)+IF(DataEntry_Standard!V34&gt;=4,1,0)+IF(DataEntry_Standard!W34&gt;=4,1,0)+IF(DataEntry_Standard!Z34&gt;=4,1,0)+IF(DataEntry_Standard!AB34&gt;=4,1,0)+IF(DataEntry_Standard!AC34&gt;=4,1,0)+IF(DataEntry_Standard!AD34&gt;=4,1,0)+IF(DataEntry_Standard!AE34&gt;=4,1,0)+IF(DataEntry_Standard!AF34&gt;=4,1,0)+IF(DataEntry_Standard!AH34&gt;=4,1,0)+IF(DataEntry_Standard!AJ34&gt;=4,1,0)+IF(DataEntry_Standard!AL34&gt;=4,1,0)+IF(DataEntry_Standard!AI34&lt;=2,1,0)+IF(DataEntry_Standard!E34&lt;=2,1,0)+IF(DataEntry_Standard!F34&lt;=2,1,0)+IF(DataEntry_Standard!AK34&lt;=2,1,0)+IF(DataEntry_Standard!H34&lt;=2,1,0)+IF(DataEntry_Standard!Q34&lt;=2,1,0)+IF(DataEntry_Standard!R34&lt;=2,1,0)+IF(DataEntry_Standard!S34&lt;=2,1,0)+IF(DataEntry_Standard!X34&lt;=2,1,0)+IF(DataEntry_Standard!Y34&lt;=2,1,0)+IF(DataEntry_Standard!AA34&lt;=2,1,0)+IF(DataEntry_Standard!AG34&lt;=2,1,0)</f>
        <v>12</v>
      </c>
      <c r="J32" s="24">
        <f>IF(DataEntry_SmartICT!D34&lt;&gt;"",DataEntry_SmartICT!D34,0)+IF(DataEntry_SmartICT!E34&lt;&gt;"",DataEntry_SmartICT!E34,0)+IF(DataEntry_SmartICT!F34&lt;&gt;"",6-DataEntry_SmartICT!F34,0)+IF(DataEntry_SmartICT!G34&lt;&gt;"",6-DataEntry_SmartICT!G34,0)+IF(DataEntry_SmartICT!H34&lt;&gt;"",DataEntry_SmartICT!H34,0)+IF(DataEntry_SmartICT!I34&lt;&gt;"",DataEntry_SmartICT!I34,0)+IF(DataEntry_SmartICT!J34&lt;&gt;"",6-DataEntry_SmartICT!J34,0)+IF(DataEntry_SmartICT!K34&lt;&gt;"",DataEntry_SmartICT!K34,0)+IF(DataEntry_SmartICT!L34&lt;&gt;"",6-DataEntry_SmartICT!L34,0)+IF(DataEntry_SmartICT!M34&lt;&gt;"",DataEntry_SmartICT!M34,0)+IF(DataEntry_SmartICT!N34&lt;&gt;"",6-DataEntry_SmartICT!N34,0)+IF(DataEntry_SmartICT!O34&lt;&gt;"",6-DataEntry_SmartICT!O34,0)+IF(DataEntry_SmartICT!P34&lt;&gt;"",6-DataEntry_SmartICT!P34,0)+IF(DataEntry_SmartICT!Q34&lt;&gt;"",6-DataEntry_SmartICT!Q34,0)+IF(DataEntry_SmartICT!R34&lt;&gt;"",6-DataEntry_SmartICT!R34,0)+IF(DataEntry_SmartICT!S34&lt;&gt;"",6-DataEntry_SmartICT!S34,0)+IF(DataEntry_SmartICT!T34&lt;&gt;"",6-DataEntry_SmartICT!T34,0)+IF(DataEntry_SmartICT!U34&lt;&gt;"",6-DataEntry_SmartICT!U34,0)+IF(DataEntry_SmartICT!V34&lt;&gt;"",DataEntry_SmartICT!V34,0)+IF(DataEntry_SmartICT!W34&lt;&gt;"",DataEntry_SmartICT!W34,0)+IF(DataEntry_SmartICT!X34&lt;&gt;"",DataEntry_SmartICT!X34,0)+IF(DataEntry_SmartICT!Y34&lt;&gt;"",6-DataEntry_SmartICT!Y34,0)+IF(DataEntry_SmartICT!Z34&lt;&gt;"",6-DataEntry_SmartICT!Z34,0)+IF(DataEntry_SmartICT!AA34&lt;&gt;"",DataEntry_SmartICT!AA34,0)+IF(DataEntry_SmartICT!AB34&lt;&gt;"",DataEntry_SmartICT!AB34,0)+IF(DataEntry_SmartICT!AC34&lt;&gt;"",6-DataEntry_SmartICT!AC34,0)+IF(DataEntry_SmartICT!AD34&lt;&gt;"",DataEntry_SmartICT!AD34,0)</f>
        <v>0</v>
      </c>
      <c r="K32" s="24">
        <f t="shared" si="1"/>
        <v>0</v>
      </c>
      <c r="L32" s="25" t="str">
        <f>IF(H32="","",IF(H32/35&lt;=Configurazione!C21,"Trascurabile",IF(H32/35&lt;=Configurazione!C22,"Moderato","Rilevante")))</f>
        <v>Trascurabile</v>
      </c>
      <c r="M32" s="25" t="str">
        <f>IF(J32=0,"N/A",IF(J32/27&lt;=Configurazione!C26,"Trascurabile",IF(J32/27&lt;=Configurazione!C27,"Moderato","Rilevante")))</f>
        <v>N/A</v>
      </c>
    </row>
    <row r="33" spans="1:13" x14ac:dyDescent="0.25">
      <c r="A33" s="18" t="str">
        <f>DataEntry_Standard!A35</f>
        <v>COMP-031</v>
      </c>
      <c r="B33" s="18">
        <f>DataEntry_Standard!C35</f>
        <v>0</v>
      </c>
      <c r="C33" s="24">
        <f>IF(DataEntry_Standard!D35&lt;&gt;"",DataEntry_Standard!D35,0)+IF(DataEntry_Standard!E35&lt;&gt;"",6-DataEntry_Standard!E35,0)+IF(DataEntry_Standard!F35&lt;&gt;"",6-DataEntry_Standard!F35,0)+IF(DataEntry_Standard!G35&lt;&gt;"",DataEntry_Standard!G35,0)+IF(DataEntry_Standard!H35&lt;&gt;"",6-DataEntry_Standard!H35,0)+IF(DataEntry_Standard!I35&lt;&gt;"",DataEntry_Standard!I35,0)+IF(DataEntry_Standard!J35&lt;&gt;"",DataEntry_Standard!J35,0)+IF(DataEntry_Standard!K35&lt;&gt;"",DataEntry_Standard!K35,0)+IF(DataEntry_Standard!L35&lt;&gt;"",DataEntry_Standard!L35,0)+IF(DataEntry_Standard!M35&lt;&gt;"",DataEntry_Standard!M35,0)</f>
        <v>0</v>
      </c>
      <c r="D33" s="24">
        <f>IF(DataEntry_Standard!N35&lt;&gt;"",DataEntry_Standard!N35,0)+IF(DataEntry_Standard!O35&lt;&gt;"",DataEntry_Standard!O35,0)+IF(DataEntry_Standard!P35&lt;&gt;"",DataEntry_Standard!P35,0)+IF(DataEntry_Standard!Q35&lt;&gt;"",6-DataEntry_Standard!Q35,0)+IF(DataEntry_Standard!R35&lt;&gt;"",6-DataEntry_Standard!R35,0)+IF(DataEntry_Standard!S35&lt;&gt;"",6-DataEntry_Standard!S35,0)+IF(DataEntry_Standard!T35&lt;&gt;"",DataEntry_Standard!T35,0)+IF(DataEntry_Standard!U35&lt;&gt;"",DataEntry_Standard!U35,0)+IF(DataEntry_Standard!V35&lt;&gt;"",DataEntry_Standard!V35,0)</f>
        <v>0</v>
      </c>
      <c r="E33" s="24">
        <f>IF(DataEntry_Standard!W35&lt;&gt;"",DataEntry_Standard!W35,0)+IF(DataEntry_Standard!X35&lt;&gt;"",6-DataEntry_Standard!X35,0)+IF(DataEntry_Standard!Y35&lt;&gt;"",6-DataEntry_Standard!Y35,0)+IF(DataEntry_Standard!Z35&lt;&gt;"",DataEntry_Standard!Z35,0)+IF(DataEntry_Standard!AA35&lt;&gt;"",6-DataEntry_Standard!AA35,0)+IF(DataEntry_Standard!AB35&lt;&gt;"",DataEntry_Standard!AB35,0)+IF(DataEntry_Standard!AC35&lt;&gt;"",DataEntry_Standard!AC35,0)+IF(DataEntry_Standard!AD35&lt;&gt;"",DataEntry_Standard!AD35,0)</f>
        <v>0</v>
      </c>
      <c r="F33" s="24">
        <f>IF(DataEntry_Standard!AE35&lt;&gt;"",DataEntry_Standard!AE35,0)+IF(DataEntry_Standard!AF35&lt;&gt;"",DataEntry_Standard!AF35,0)+IF(DataEntry_Standard!AG35&lt;&gt;"",6-DataEntry_Standard!AG35,0)+IF(DataEntry_Standard!AH35&lt;&gt;"",DataEntry_Standard!AH35,0)+IF(DataEntry_Standard!AI35&lt;&gt;"",6-DataEntry_Standard!AI35,0)</f>
        <v>0</v>
      </c>
      <c r="G33" s="24">
        <f>IF(DataEntry_Standard!AJ35&lt;&gt;"",DataEntry_Standard!AJ35,0)+IF(DataEntry_Standard!AK35&lt;&gt;"",6-DataEntry_Standard!AK35,0)+IF(DataEntry_Standard!AL35&lt;&gt;"",DataEntry_Standard!AL35,0)</f>
        <v>0</v>
      </c>
      <c r="H33" s="24">
        <f t="shared" si="0"/>
        <v>0</v>
      </c>
      <c r="I33" s="24">
        <f>IF(DataEntry_Standard!D35&gt;=4,1,0)+IF(DataEntry_Standard!G35&gt;=4,1,0)+IF(DataEntry_Standard!I35&gt;=4,1,0)+IF(DataEntry_Standard!J35&gt;=4,1,0)+IF(DataEntry_Standard!K35&gt;=4,1,0)+IF(DataEntry_Standard!L35&gt;=4,1,0)+IF(DataEntry_Standard!M35&gt;=4,1,0)+IF(DataEntry_Standard!N35&gt;=4,1,0)+IF(DataEntry_Standard!O35&gt;=4,1,0)+IF(DataEntry_Standard!P35&gt;=4,1,0)+IF(DataEntry_Standard!T35&gt;=4,1,0)+IF(DataEntry_Standard!U35&gt;=4,1,0)+IF(DataEntry_Standard!V35&gt;=4,1,0)+IF(DataEntry_Standard!W35&gt;=4,1,0)+IF(DataEntry_Standard!Z35&gt;=4,1,0)+IF(DataEntry_Standard!AB35&gt;=4,1,0)+IF(DataEntry_Standard!AC35&gt;=4,1,0)+IF(DataEntry_Standard!AD35&gt;=4,1,0)+IF(DataEntry_Standard!AE35&gt;=4,1,0)+IF(DataEntry_Standard!AF35&gt;=4,1,0)+IF(DataEntry_Standard!AH35&gt;=4,1,0)+IF(DataEntry_Standard!AJ35&gt;=4,1,0)+IF(DataEntry_Standard!AL35&gt;=4,1,0)+IF(DataEntry_Standard!AI35&lt;=2,1,0)+IF(DataEntry_Standard!E35&lt;=2,1,0)+IF(DataEntry_Standard!F35&lt;=2,1,0)+IF(DataEntry_Standard!AK35&lt;=2,1,0)+IF(DataEntry_Standard!H35&lt;=2,1,0)+IF(DataEntry_Standard!Q35&lt;=2,1,0)+IF(DataEntry_Standard!R35&lt;=2,1,0)+IF(DataEntry_Standard!S35&lt;=2,1,0)+IF(DataEntry_Standard!X35&lt;=2,1,0)+IF(DataEntry_Standard!Y35&lt;=2,1,0)+IF(DataEntry_Standard!AA35&lt;=2,1,0)+IF(DataEntry_Standard!AG35&lt;=2,1,0)</f>
        <v>12</v>
      </c>
      <c r="J33" s="24">
        <f>IF(DataEntry_SmartICT!D35&lt;&gt;"",DataEntry_SmartICT!D35,0)+IF(DataEntry_SmartICT!E35&lt;&gt;"",DataEntry_SmartICT!E35,0)+IF(DataEntry_SmartICT!F35&lt;&gt;"",6-DataEntry_SmartICT!F35,0)+IF(DataEntry_SmartICT!G35&lt;&gt;"",6-DataEntry_SmartICT!G35,0)+IF(DataEntry_SmartICT!H35&lt;&gt;"",DataEntry_SmartICT!H35,0)+IF(DataEntry_SmartICT!I35&lt;&gt;"",DataEntry_SmartICT!I35,0)+IF(DataEntry_SmartICT!J35&lt;&gt;"",6-DataEntry_SmartICT!J35,0)+IF(DataEntry_SmartICT!K35&lt;&gt;"",DataEntry_SmartICT!K35,0)+IF(DataEntry_SmartICT!L35&lt;&gt;"",6-DataEntry_SmartICT!L35,0)+IF(DataEntry_SmartICT!M35&lt;&gt;"",DataEntry_SmartICT!M35,0)+IF(DataEntry_SmartICT!N35&lt;&gt;"",6-DataEntry_SmartICT!N35,0)+IF(DataEntry_SmartICT!O35&lt;&gt;"",6-DataEntry_SmartICT!O35,0)+IF(DataEntry_SmartICT!P35&lt;&gt;"",6-DataEntry_SmartICT!P35,0)+IF(DataEntry_SmartICT!Q35&lt;&gt;"",6-DataEntry_SmartICT!Q35,0)+IF(DataEntry_SmartICT!R35&lt;&gt;"",6-DataEntry_SmartICT!R35,0)+IF(DataEntry_SmartICT!S35&lt;&gt;"",6-DataEntry_SmartICT!S35,0)+IF(DataEntry_SmartICT!T35&lt;&gt;"",6-DataEntry_SmartICT!T35,0)+IF(DataEntry_SmartICT!U35&lt;&gt;"",6-DataEntry_SmartICT!U35,0)+IF(DataEntry_SmartICT!V35&lt;&gt;"",DataEntry_SmartICT!V35,0)+IF(DataEntry_SmartICT!W35&lt;&gt;"",DataEntry_SmartICT!W35,0)+IF(DataEntry_SmartICT!X35&lt;&gt;"",DataEntry_SmartICT!X35,0)+IF(DataEntry_SmartICT!Y35&lt;&gt;"",6-DataEntry_SmartICT!Y35,0)+IF(DataEntry_SmartICT!Z35&lt;&gt;"",6-DataEntry_SmartICT!Z35,0)+IF(DataEntry_SmartICT!AA35&lt;&gt;"",DataEntry_SmartICT!AA35,0)+IF(DataEntry_SmartICT!AB35&lt;&gt;"",DataEntry_SmartICT!AB35,0)+IF(DataEntry_SmartICT!AC35&lt;&gt;"",6-DataEntry_SmartICT!AC35,0)+IF(DataEntry_SmartICT!AD35&lt;&gt;"",DataEntry_SmartICT!AD35,0)</f>
        <v>0</v>
      </c>
      <c r="K33" s="24">
        <f t="shared" si="1"/>
        <v>0</v>
      </c>
      <c r="L33" s="25" t="str">
        <f>IF(H33="","",IF(H33/35&lt;=Configurazione!C21,"Trascurabile",IF(H33/35&lt;=Configurazione!C22,"Moderato","Rilevante")))</f>
        <v>Trascurabile</v>
      </c>
      <c r="M33" s="25" t="str">
        <f>IF(J33=0,"N/A",IF(J33/27&lt;=Configurazione!C26,"Trascurabile",IF(J33/27&lt;=Configurazione!C27,"Moderato","Rilevante")))</f>
        <v>N/A</v>
      </c>
    </row>
    <row r="34" spans="1:13" x14ac:dyDescent="0.25">
      <c r="A34" s="18" t="str">
        <f>DataEntry_Standard!A36</f>
        <v>COMP-032</v>
      </c>
      <c r="B34" s="18">
        <f>DataEntry_Standard!C36</f>
        <v>0</v>
      </c>
      <c r="C34" s="24">
        <f>IF(DataEntry_Standard!D36&lt;&gt;"",DataEntry_Standard!D36,0)+IF(DataEntry_Standard!E36&lt;&gt;"",6-DataEntry_Standard!E36,0)+IF(DataEntry_Standard!F36&lt;&gt;"",6-DataEntry_Standard!F36,0)+IF(DataEntry_Standard!G36&lt;&gt;"",DataEntry_Standard!G36,0)+IF(DataEntry_Standard!H36&lt;&gt;"",6-DataEntry_Standard!H36,0)+IF(DataEntry_Standard!I36&lt;&gt;"",DataEntry_Standard!I36,0)+IF(DataEntry_Standard!J36&lt;&gt;"",DataEntry_Standard!J36,0)+IF(DataEntry_Standard!K36&lt;&gt;"",DataEntry_Standard!K36,0)+IF(DataEntry_Standard!L36&lt;&gt;"",DataEntry_Standard!L36,0)+IF(DataEntry_Standard!M36&lt;&gt;"",DataEntry_Standard!M36,0)</f>
        <v>0</v>
      </c>
      <c r="D34" s="24">
        <f>IF(DataEntry_Standard!N36&lt;&gt;"",DataEntry_Standard!N36,0)+IF(DataEntry_Standard!O36&lt;&gt;"",DataEntry_Standard!O36,0)+IF(DataEntry_Standard!P36&lt;&gt;"",DataEntry_Standard!P36,0)+IF(DataEntry_Standard!Q36&lt;&gt;"",6-DataEntry_Standard!Q36,0)+IF(DataEntry_Standard!R36&lt;&gt;"",6-DataEntry_Standard!R36,0)+IF(DataEntry_Standard!S36&lt;&gt;"",6-DataEntry_Standard!S36,0)+IF(DataEntry_Standard!T36&lt;&gt;"",DataEntry_Standard!T36,0)+IF(DataEntry_Standard!U36&lt;&gt;"",DataEntry_Standard!U36,0)+IF(DataEntry_Standard!V36&lt;&gt;"",DataEntry_Standard!V36,0)</f>
        <v>0</v>
      </c>
      <c r="E34" s="24">
        <f>IF(DataEntry_Standard!W36&lt;&gt;"",DataEntry_Standard!W36,0)+IF(DataEntry_Standard!X36&lt;&gt;"",6-DataEntry_Standard!X36,0)+IF(DataEntry_Standard!Y36&lt;&gt;"",6-DataEntry_Standard!Y36,0)+IF(DataEntry_Standard!Z36&lt;&gt;"",DataEntry_Standard!Z36,0)+IF(DataEntry_Standard!AA36&lt;&gt;"",6-DataEntry_Standard!AA36,0)+IF(DataEntry_Standard!AB36&lt;&gt;"",DataEntry_Standard!AB36,0)+IF(DataEntry_Standard!AC36&lt;&gt;"",DataEntry_Standard!AC36,0)+IF(DataEntry_Standard!AD36&lt;&gt;"",DataEntry_Standard!AD36,0)</f>
        <v>0</v>
      </c>
      <c r="F34" s="24">
        <f>IF(DataEntry_Standard!AE36&lt;&gt;"",DataEntry_Standard!AE36,0)+IF(DataEntry_Standard!AF36&lt;&gt;"",DataEntry_Standard!AF36,0)+IF(DataEntry_Standard!AG36&lt;&gt;"",6-DataEntry_Standard!AG36,0)+IF(DataEntry_Standard!AH36&lt;&gt;"",DataEntry_Standard!AH36,0)+IF(DataEntry_Standard!AI36&lt;&gt;"",6-DataEntry_Standard!AI36,0)</f>
        <v>0</v>
      </c>
      <c r="G34" s="24">
        <f>IF(DataEntry_Standard!AJ36&lt;&gt;"",DataEntry_Standard!AJ36,0)+IF(DataEntry_Standard!AK36&lt;&gt;"",6-DataEntry_Standard!AK36,0)+IF(DataEntry_Standard!AL36&lt;&gt;"",DataEntry_Standard!AL36,0)</f>
        <v>0</v>
      </c>
      <c r="H34" s="24">
        <f t="shared" si="0"/>
        <v>0</v>
      </c>
      <c r="I34" s="24">
        <f>IF(DataEntry_Standard!D36&gt;=4,1,0)+IF(DataEntry_Standard!G36&gt;=4,1,0)+IF(DataEntry_Standard!I36&gt;=4,1,0)+IF(DataEntry_Standard!J36&gt;=4,1,0)+IF(DataEntry_Standard!K36&gt;=4,1,0)+IF(DataEntry_Standard!L36&gt;=4,1,0)+IF(DataEntry_Standard!M36&gt;=4,1,0)+IF(DataEntry_Standard!N36&gt;=4,1,0)+IF(DataEntry_Standard!O36&gt;=4,1,0)+IF(DataEntry_Standard!P36&gt;=4,1,0)+IF(DataEntry_Standard!T36&gt;=4,1,0)+IF(DataEntry_Standard!U36&gt;=4,1,0)+IF(DataEntry_Standard!V36&gt;=4,1,0)+IF(DataEntry_Standard!W36&gt;=4,1,0)+IF(DataEntry_Standard!Z36&gt;=4,1,0)+IF(DataEntry_Standard!AB36&gt;=4,1,0)+IF(DataEntry_Standard!AC36&gt;=4,1,0)+IF(DataEntry_Standard!AD36&gt;=4,1,0)+IF(DataEntry_Standard!AE36&gt;=4,1,0)+IF(DataEntry_Standard!AF36&gt;=4,1,0)+IF(DataEntry_Standard!AH36&gt;=4,1,0)+IF(DataEntry_Standard!AJ36&gt;=4,1,0)+IF(DataEntry_Standard!AL36&gt;=4,1,0)+IF(DataEntry_Standard!AI36&lt;=2,1,0)+IF(DataEntry_Standard!E36&lt;=2,1,0)+IF(DataEntry_Standard!F36&lt;=2,1,0)+IF(DataEntry_Standard!AK36&lt;=2,1,0)+IF(DataEntry_Standard!H36&lt;=2,1,0)+IF(DataEntry_Standard!Q36&lt;=2,1,0)+IF(DataEntry_Standard!R36&lt;=2,1,0)+IF(DataEntry_Standard!S36&lt;=2,1,0)+IF(DataEntry_Standard!X36&lt;=2,1,0)+IF(DataEntry_Standard!Y36&lt;=2,1,0)+IF(DataEntry_Standard!AA36&lt;=2,1,0)+IF(DataEntry_Standard!AG36&lt;=2,1,0)</f>
        <v>12</v>
      </c>
      <c r="J34" s="24">
        <f>IF(DataEntry_SmartICT!D36&lt;&gt;"",DataEntry_SmartICT!D36,0)+IF(DataEntry_SmartICT!E36&lt;&gt;"",DataEntry_SmartICT!E36,0)+IF(DataEntry_SmartICT!F36&lt;&gt;"",6-DataEntry_SmartICT!F36,0)+IF(DataEntry_SmartICT!G36&lt;&gt;"",6-DataEntry_SmartICT!G36,0)+IF(DataEntry_SmartICT!H36&lt;&gt;"",DataEntry_SmartICT!H36,0)+IF(DataEntry_SmartICT!I36&lt;&gt;"",DataEntry_SmartICT!I36,0)+IF(DataEntry_SmartICT!J36&lt;&gt;"",6-DataEntry_SmartICT!J36,0)+IF(DataEntry_SmartICT!K36&lt;&gt;"",DataEntry_SmartICT!K36,0)+IF(DataEntry_SmartICT!L36&lt;&gt;"",6-DataEntry_SmartICT!L36,0)+IF(DataEntry_SmartICT!M36&lt;&gt;"",DataEntry_SmartICT!M36,0)+IF(DataEntry_SmartICT!N36&lt;&gt;"",6-DataEntry_SmartICT!N36,0)+IF(DataEntry_SmartICT!O36&lt;&gt;"",6-DataEntry_SmartICT!O36,0)+IF(DataEntry_SmartICT!P36&lt;&gt;"",6-DataEntry_SmartICT!P36,0)+IF(DataEntry_SmartICT!Q36&lt;&gt;"",6-DataEntry_SmartICT!Q36,0)+IF(DataEntry_SmartICT!R36&lt;&gt;"",6-DataEntry_SmartICT!R36,0)+IF(DataEntry_SmartICT!S36&lt;&gt;"",6-DataEntry_SmartICT!S36,0)+IF(DataEntry_SmartICT!T36&lt;&gt;"",6-DataEntry_SmartICT!T36,0)+IF(DataEntry_SmartICT!U36&lt;&gt;"",6-DataEntry_SmartICT!U36,0)+IF(DataEntry_SmartICT!V36&lt;&gt;"",DataEntry_SmartICT!V36,0)+IF(DataEntry_SmartICT!W36&lt;&gt;"",DataEntry_SmartICT!W36,0)+IF(DataEntry_SmartICT!X36&lt;&gt;"",DataEntry_SmartICT!X36,0)+IF(DataEntry_SmartICT!Y36&lt;&gt;"",6-DataEntry_SmartICT!Y36,0)+IF(DataEntry_SmartICT!Z36&lt;&gt;"",6-DataEntry_SmartICT!Z36,0)+IF(DataEntry_SmartICT!AA36&lt;&gt;"",DataEntry_SmartICT!AA36,0)+IF(DataEntry_SmartICT!AB36&lt;&gt;"",DataEntry_SmartICT!AB36,0)+IF(DataEntry_SmartICT!AC36&lt;&gt;"",6-DataEntry_SmartICT!AC36,0)+IF(DataEntry_SmartICT!AD36&lt;&gt;"",DataEntry_SmartICT!AD36,0)</f>
        <v>0</v>
      </c>
      <c r="K34" s="24">
        <f t="shared" si="1"/>
        <v>0</v>
      </c>
      <c r="L34" s="25" t="str">
        <f>IF(H34="","",IF(H34/35&lt;=Configurazione!C21,"Trascurabile",IF(H34/35&lt;=Configurazione!C22,"Moderato","Rilevante")))</f>
        <v>Trascurabile</v>
      </c>
      <c r="M34" s="25" t="str">
        <f>IF(J34=0,"N/A",IF(J34/27&lt;=Configurazione!C26,"Trascurabile",IF(J34/27&lt;=Configurazione!C27,"Moderato","Rilevante")))</f>
        <v>N/A</v>
      </c>
    </row>
    <row r="35" spans="1:13" x14ac:dyDescent="0.25">
      <c r="A35" s="18" t="str">
        <f>DataEntry_Standard!A37</f>
        <v>COMP-033</v>
      </c>
      <c r="B35" s="18">
        <f>DataEntry_Standard!C37</f>
        <v>0</v>
      </c>
      <c r="C35" s="24">
        <f>IF(DataEntry_Standard!D37&lt;&gt;"",DataEntry_Standard!D37,0)+IF(DataEntry_Standard!E37&lt;&gt;"",6-DataEntry_Standard!E37,0)+IF(DataEntry_Standard!F37&lt;&gt;"",6-DataEntry_Standard!F37,0)+IF(DataEntry_Standard!G37&lt;&gt;"",DataEntry_Standard!G37,0)+IF(DataEntry_Standard!H37&lt;&gt;"",6-DataEntry_Standard!H37,0)+IF(DataEntry_Standard!I37&lt;&gt;"",DataEntry_Standard!I37,0)+IF(DataEntry_Standard!J37&lt;&gt;"",DataEntry_Standard!J37,0)+IF(DataEntry_Standard!K37&lt;&gt;"",DataEntry_Standard!K37,0)+IF(DataEntry_Standard!L37&lt;&gt;"",DataEntry_Standard!L37,0)+IF(DataEntry_Standard!M37&lt;&gt;"",DataEntry_Standard!M37,0)</f>
        <v>0</v>
      </c>
      <c r="D35" s="24">
        <f>IF(DataEntry_Standard!N37&lt;&gt;"",DataEntry_Standard!N37,0)+IF(DataEntry_Standard!O37&lt;&gt;"",DataEntry_Standard!O37,0)+IF(DataEntry_Standard!P37&lt;&gt;"",DataEntry_Standard!P37,0)+IF(DataEntry_Standard!Q37&lt;&gt;"",6-DataEntry_Standard!Q37,0)+IF(DataEntry_Standard!R37&lt;&gt;"",6-DataEntry_Standard!R37,0)+IF(DataEntry_Standard!S37&lt;&gt;"",6-DataEntry_Standard!S37,0)+IF(DataEntry_Standard!T37&lt;&gt;"",DataEntry_Standard!T37,0)+IF(DataEntry_Standard!U37&lt;&gt;"",DataEntry_Standard!U37,0)+IF(DataEntry_Standard!V37&lt;&gt;"",DataEntry_Standard!V37,0)</f>
        <v>0</v>
      </c>
      <c r="E35" s="24">
        <f>IF(DataEntry_Standard!W37&lt;&gt;"",DataEntry_Standard!W37,0)+IF(DataEntry_Standard!X37&lt;&gt;"",6-DataEntry_Standard!X37,0)+IF(DataEntry_Standard!Y37&lt;&gt;"",6-DataEntry_Standard!Y37,0)+IF(DataEntry_Standard!Z37&lt;&gt;"",DataEntry_Standard!Z37,0)+IF(DataEntry_Standard!AA37&lt;&gt;"",6-DataEntry_Standard!AA37,0)+IF(DataEntry_Standard!AB37&lt;&gt;"",DataEntry_Standard!AB37,0)+IF(DataEntry_Standard!AC37&lt;&gt;"",DataEntry_Standard!AC37,0)+IF(DataEntry_Standard!AD37&lt;&gt;"",DataEntry_Standard!AD37,0)</f>
        <v>0</v>
      </c>
      <c r="F35" s="24">
        <f>IF(DataEntry_Standard!AE37&lt;&gt;"",DataEntry_Standard!AE37,0)+IF(DataEntry_Standard!AF37&lt;&gt;"",DataEntry_Standard!AF37,0)+IF(DataEntry_Standard!AG37&lt;&gt;"",6-DataEntry_Standard!AG37,0)+IF(DataEntry_Standard!AH37&lt;&gt;"",DataEntry_Standard!AH37,0)+IF(DataEntry_Standard!AI37&lt;&gt;"",6-DataEntry_Standard!AI37,0)</f>
        <v>0</v>
      </c>
      <c r="G35" s="24">
        <f>IF(DataEntry_Standard!AJ37&lt;&gt;"",DataEntry_Standard!AJ37,0)+IF(DataEntry_Standard!AK37&lt;&gt;"",6-DataEntry_Standard!AK37,0)+IF(DataEntry_Standard!AL37&lt;&gt;"",DataEntry_Standard!AL37,0)</f>
        <v>0</v>
      </c>
      <c r="H35" s="24">
        <f t="shared" ref="H35:H52" si="2">IF(A35&lt;&gt;"",C35+D35+E35+F35+G35,"")</f>
        <v>0</v>
      </c>
      <c r="I35" s="24">
        <f>IF(DataEntry_Standard!D37&gt;=4,1,0)+IF(DataEntry_Standard!G37&gt;=4,1,0)+IF(DataEntry_Standard!I37&gt;=4,1,0)+IF(DataEntry_Standard!J37&gt;=4,1,0)+IF(DataEntry_Standard!K37&gt;=4,1,0)+IF(DataEntry_Standard!L37&gt;=4,1,0)+IF(DataEntry_Standard!M37&gt;=4,1,0)+IF(DataEntry_Standard!N37&gt;=4,1,0)+IF(DataEntry_Standard!O37&gt;=4,1,0)+IF(DataEntry_Standard!P37&gt;=4,1,0)+IF(DataEntry_Standard!T37&gt;=4,1,0)+IF(DataEntry_Standard!U37&gt;=4,1,0)+IF(DataEntry_Standard!V37&gt;=4,1,0)+IF(DataEntry_Standard!W37&gt;=4,1,0)+IF(DataEntry_Standard!Z37&gt;=4,1,0)+IF(DataEntry_Standard!AB37&gt;=4,1,0)+IF(DataEntry_Standard!AC37&gt;=4,1,0)+IF(DataEntry_Standard!AD37&gt;=4,1,0)+IF(DataEntry_Standard!AE37&gt;=4,1,0)+IF(DataEntry_Standard!AF37&gt;=4,1,0)+IF(DataEntry_Standard!AH37&gt;=4,1,0)+IF(DataEntry_Standard!AJ37&gt;=4,1,0)+IF(DataEntry_Standard!AL37&gt;=4,1,0)+IF(DataEntry_Standard!AI37&lt;=2,1,0)+IF(DataEntry_Standard!E37&lt;=2,1,0)+IF(DataEntry_Standard!F37&lt;=2,1,0)+IF(DataEntry_Standard!AK37&lt;=2,1,0)+IF(DataEntry_Standard!H37&lt;=2,1,0)+IF(DataEntry_Standard!Q37&lt;=2,1,0)+IF(DataEntry_Standard!R37&lt;=2,1,0)+IF(DataEntry_Standard!S37&lt;=2,1,0)+IF(DataEntry_Standard!X37&lt;=2,1,0)+IF(DataEntry_Standard!Y37&lt;=2,1,0)+IF(DataEntry_Standard!AA37&lt;=2,1,0)+IF(DataEntry_Standard!AG37&lt;=2,1,0)</f>
        <v>12</v>
      </c>
      <c r="J35" s="24">
        <f>IF(DataEntry_SmartICT!D37&lt;&gt;"",DataEntry_SmartICT!D37,0)+IF(DataEntry_SmartICT!E37&lt;&gt;"",DataEntry_SmartICT!E37,0)+IF(DataEntry_SmartICT!F37&lt;&gt;"",6-DataEntry_SmartICT!F37,0)+IF(DataEntry_SmartICT!G37&lt;&gt;"",6-DataEntry_SmartICT!G37,0)+IF(DataEntry_SmartICT!H37&lt;&gt;"",DataEntry_SmartICT!H37,0)+IF(DataEntry_SmartICT!I37&lt;&gt;"",DataEntry_SmartICT!I37,0)+IF(DataEntry_SmartICT!J37&lt;&gt;"",6-DataEntry_SmartICT!J37,0)+IF(DataEntry_SmartICT!K37&lt;&gt;"",DataEntry_SmartICT!K37,0)+IF(DataEntry_SmartICT!L37&lt;&gt;"",6-DataEntry_SmartICT!L37,0)+IF(DataEntry_SmartICT!M37&lt;&gt;"",DataEntry_SmartICT!M37,0)+IF(DataEntry_SmartICT!N37&lt;&gt;"",6-DataEntry_SmartICT!N37,0)+IF(DataEntry_SmartICT!O37&lt;&gt;"",6-DataEntry_SmartICT!O37,0)+IF(DataEntry_SmartICT!P37&lt;&gt;"",6-DataEntry_SmartICT!P37,0)+IF(DataEntry_SmartICT!Q37&lt;&gt;"",6-DataEntry_SmartICT!Q37,0)+IF(DataEntry_SmartICT!R37&lt;&gt;"",6-DataEntry_SmartICT!R37,0)+IF(DataEntry_SmartICT!S37&lt;&gt;"",6-DataEntry_SmartICT!S37,0)+IF(DataEntry_SmartICT!T37&lt;&gt;"",6-DataEntry_SmartICT!T37,0)+IF(DataEntry_SmartICT!U37&lt;&gt;"",6-DataEntry_SmartICT!U37,0)+IF(DataEntry_SmartICT!V37&lt;&gt;"",DataEntry_SmartICT!V37,0)+IF(DataEntry_SmartICT!W37&lt;&gt;"",DataEntry_SmartICT!W37,0)+IF(DataEntry_SmartICT!X37&lt;&gt;"",DataEntry_SmartICT!X37,0)+IF(DataEntry_SmartICT!Y37&lt;&gt;"",6-DataEntry_SmartICT!Y37,0)+IF(DataEntry_SmartICT!Z37&lt;&gt;"",6-DataEntry_SmartICT!Z37,0)+IF(DataEntry_SmartICT!AA37&lt;&gt;"",DataEntry_SmartICT!AA37,0)+IF(DataEntry_SmartICT!AB37&lt;&gt;"",DataEntry_SmartICT!AB37,0)+IF(DataEntry_SmartICT!AC37&lt;&gt;"",6-DataEntry_SmartICT!AC37,0)+IF(DataEntry_SmartICT!AD37&lt;&gt;"",DataEntry_SmartICT!AD37,0)</f>
        <v>0</v>
      </c>
      <c r="K35" s="24">
        <f t="shared" ref="K35:K52" si="3">IF(H35&lt;&gt;"",IFERROR(H35+J35,H35),"")</f>
        <v>0</v>
      </c>
      <c r="L35" s="25" t="str">
        <f>IF(H35="","",IF(H35/35&lt;=Configurazione!C21,"Trascurabile",IF(H35/35&lt;=Configurazione!C22,"Moderato","Rilevante")))</f>
        <v>Trascurabile</v>
      </c>
      <c r="M35" s="25" t="str">
        <f>IF(J35=0,"N/A",IF(J35/27&lt;=Configurazione!C26,"Trascurabile",IF(J35/27&lt;=Configurazione!C27,"Moderato","Rilevante")))</f>
        <v>N/A</v>
      </c>
    </row>
    <row r="36" spans="1:13" x14ac:dyDescent="0.25">
      <c r="A36" s="18" t="str">
        <f>DataEntry_Standard!A38</f>
        <v>COMP-034</v>
      </c>
      <c r="B36" s="18">
        <f>DataEntry_Standard!C38</f>
        <v>0</v>
      </c>
      <c r="C36" s="24">
        <f>IF(DataEntry_Standard!D38&lt;&gt;"",DataEntry_Standard!D38,0)+IF(DataEntry_Standard!E38&lt;&gt;"",6-DataEntry_Standard!E38,0)+IF(DataEntry_Standard!F38&lt;&gt;"",6-DataEntry_Standard!F38,0)+IF(DataEntry_Standard!G38&lt;&gt;"",DataEntry_Standard!G38,0)+IF(DataEntry_Standard!H38&lt;&gt;"",6-DataEntry_Standard!H38,0)+IF(DataEntry_Standard!I38&lt;&gt;"",DataEntry_Standard!I38,0)+IF(DataEntry_Standard!J38&lt;&gt;"",DataEntry_Standard!J38,0)+IF(DataEntry_Standard!K38&lt;&gt;"",DataEntry_Standard!K38,0)+IF(DataEntry_Standard!L38&lt;&gt;"",DataEntry_Standard!L38,0)+IF(DataEntry_Standard!M38&lt;&gt;"",DataEntry_Standard!M38,0)</f>
        <v>0</v>
      </c>
      <c r="D36" s="24">
        <f>IF(DataEntry_Standard!N38&lt;&gt;"",DataEntry_Standard!N38,0)+IF(DataEntry_Standard!O38&lt;&gt;"",DataEntry_Standard!O38,0)+IF(DataEntry_Standard!P38&lt;&gt;"",DataEntry_Standard!P38,0)+IF(DataEntry_Standard!Q38&lt;&gt;"",6-DataEntry_Standard!Q38,0)+IF(DataEntry_Standard!R38&lt;&gt;"",6-DataEntry_Standard!R38,0)+IF(DataEntry_Standard!S38&lt;&gt;"",6-DataEntry_Standard!S38,0)+IF(DataEntry_Standard!T38&lt;&gt;"",DataEntry_Standard!T38,0)+IF(DataEntry_Standard!U38&lt;&gt;"",DataEntry_Standard!U38,0)+IF(DataEntry_Standard!V38&lt;&gt;"",DataEntry_Standard!V38,0)</f>
        <v>0</v>
      </c>
      <c r="E36" s="24">
        <f>IF(DataEntry_Standard!W38&lt;&gt;"",DataEntry_Standard!W38,0)+IF(DataEntry_Standard!X38&lt;&gt;"",6-DataEntry_Standard!X38,0)+IF(DataEntry_Standard!Y38&lt;&gt;"",6-DataEntry_Standard!Y38,0)+IF(DataEntry_Standard!Z38&lt;&gt;"",DataEntry_Standard!Z38,0)+IF(DataEntry_Standard!AA38&lt;&gt;"",6-DataEntry_Standard!AA38,0)+IF(DataEntry_Standard!AB38&lt;&gt;"",DataEntry_Standard!AB38,0)+IF(DataEntry_Standard!AC38&lt;&gt;"",DataEntry_Standard!AC38,0)+IF(DataEntry_Standard!AD38&lt;&gt;"",DataEntry_Standard!AD38,0)</f>
        <v>0</v>
      </c>
      <c r="F36" s="24">
        <f>IF(DataEntry_Standard!AE38&lt;&gt;"",DataEntry_Standard!AE38,0)+IF(DataEntry_Standard!AF38&lt;&gt;"",DataEntry_Standard!AF38,0)+IF(DataEntry_Standard!AG38&lt;&gt;"",6-DataEntry_Standard!AG38,0)+IF(DataEntry_Standard!AH38&lt;&gt;"",DataEntry_Standard!AH38,0)+IF(DataEntry_Standard!AI38&lt;&gt;"",6-DataEntry_Standard!AI38,0)</f>
        <v>0</v>
      </c>
      <c r="G36" s="24">
        <f>IF(DataEntry_Standard!AJ38&lt;&gt;"",DataEntry_Standard!AJ38,0)+IF(DataEntry_Standard!AK38&lt;&gt;"",6-DataEntry_Standard!AK38,0)+IF(DataEntry_Standard!AL38&lt;&gt;"",DataEntry_Standard!AL38,0)</f>
        <v>0</v>
      </c>
      <c r="H36" s="24">
        <f t="shared" si="2"/>
        <v>0</v>
      </c>
      <c r="I36" s="24">
        <f>IF(DataEntry_Standard!D38&gt;=4,1,0)+IF(DataEntry_Standard!G38&gt;=4,1,0)+IF(DataEntry_Standard!I38&gt;=4,1,0)+IF(DataEntry_Standard!J38&gt;=4,1,0)+IF(DataEntry_Standard!K38&gt;=4,1,0)+IF(DataEntry_Standard!L38&gt;=4,1,0)+IF(DataEntry_Standard!M38&gt;=4,1,0)+IF(DataEntry_Standard!N38&gt;=4,1,0)+IF(DataEntry_Standard!O38&gt;=4,1,0)+IF(DataEntry_Standard!P38&gt;=4,1,0)+IF(DataEntry_Standard!T38&gt;=4,1,0)+IF(DataEntry_Standard!U38&gt;=4,1,0)+IF(DataEntry_Standard!V38&gt;=4,1,0)+IF(DataEntry_Standard!W38&gt;=4,1,0)+IF(DataEntry_Standard!Z38&gt;=4,1,0)+IF(DataEntry_Standard!AB38&gt;=4,1,0)+IF(DataEntry_Standard!AC38&gt;=4,1,0)+IF(DataEntry_Standard!AD38&gt;=4,1,0)+IF(DataEntry_Standard!AE38&gt;=4,1,0)+IF(DataEntry_Standard!AF38&gt;=4,1,0)+IF(DataEntry_Standard!AH38&gt;=4,1,0)+IF(DataEntry_Standard!AJ38&gt;=4,1,0)+IF(DataEntry_Standard!AL38&gt;=4,1,0)+IF(DataEntry_Standard!AI38&lt;=2,1,0)+IF(DataEntry_Standard!E38&lt;=2,1,0)+IF(DataEntry_Standard!F38&lt;=2,1,0)+IF(DataEntry_Standard!AK38&lt;=2,1,0)+IF(DataEntry_Standard!H38&lt;=2,1,0)+IF(DataEntry_Standard!Q38&lt;=2,1,0)+IF(DataEntry_Standard!R38&lt;=2,1,0)+IF(DataEntry_Standard!S38&lt;=2,1,0)+IF(DataEntry_Standard!X38&lt;=2,1,0)+IF(DataEntry_Standard!Y38&lt;=2,1,0)+IF(DataEntry_Standard!AA38&lt;=2,1,0)+IF(DataEntry_Standard!AG38&lt;=2,1,0)</f>
        <v>12</v>
      </c>
      <c r="J36" s="24">
        <f>IF(DataEntry_SmartICT!D38&lt;&gt;"",DataEntry_SmartICT!D38,0)+IF(DataEntry_SmartICT!E38&lt;&gt;"",DataEntry_SmartICT!E38,0)+IF(DataEntry_SmartICT!F38&lt;&gt;"",6-DataEntry_SmartICT!F38,0)+IF(DataEntry_SmartICT!G38&lt;&gt;"",6-DataEntry_SmartICT!G38,0)+IF(DataEntry_SmartICT!H38&lt;&gt;"",DataEntry_SmartICT!H38,0)+IF(DataEntry_SmartICT!I38&lt;&gt;"",DataEntry_SmartICT!I38,0)+IF(DataEntry_SmartICT!J38&lt;&gt;"",6-DataEntry_SmartICT!J38,0)+IF(DataEntry_SmartICT!K38&lt;&gt;"",DataEntry_SmartICT!K38,0)+IF(DataEntry_SmartICT!L38&lt;&gt;"",6-DataEntry_SmartICT!L38,0)+IF(DataEntry_SmartICT!M38&lt;&gt;"",DataEntry_SmartICT!M38,0)+IF(DataEntry_SmartICT!N38&lt;&gt;"",6-DataEntry_SmartICT!N38,0)+IF(DataEntry_SmartICT!O38&lt;&gt;"",6-DataEntry_SmartICT!O38,0)+IF(DataEntry_SmartICT!P38&lt;&gt;"",6-DataEntry_SmartICT!P38,0)+IF(DataEntry_SmartICT!Q38&lt;&gt;"",6-DataEntry_SmartICT!Q38,0)+IF(DataEntry_SmartICT!R38&lt;&gt;"",6-DataEntry_SmartICT!R38,0)+IF(DataEntry_SmartICT!S38&lt;&gt;"",6-DataEntry_SmartICT!S38,0)+IF(DataEntry_SmartICT!T38&lt;&gt;"",6-DataEntry_SmartICT!T38,0)+IF(DataEntry_SmartICT!U38&lt;&gt;"",6-DataEntry_SmartICT!U38,0)+IF(DataEntry_SmartICT!V38&lt;&gt;"",DataEntry_SmartICT!V38,0)+IF(DataEntry_SmartICT!W38&lt;&gt;"",DataEntry_SmartICT!W38,0)+IF(DataEntry_SmartICT!X38&lt;&gt;"",DataEntry_SmartICT!X38,0)+IF(DataEntry_SmartICT!Y38&lt;&gt;"",6-DataEntry_SmartICT!Y38,0)+IF(DataEntry_SmartICT!Z38&lt;&gt;"",6-DataEntry_SmartICT!Z38,0)+IF(DataEntry_SmartICT!AA38&lt;&gt;"",DataEntry_SmartICT!AA38,0)+IF(DataEntry_SmartICT!AB38&lt;&gt;"",DataEntry_SmartICT!AB38,0)+IF(DataEntry_SmartICT!AC38&lt;&gt;"",6-DataEntry_SmartICT!AC38,0)+IF(DataEntry_SmartICT!AD38&lt;&gt;"",DataEntry_SmartICT!AD38,0)</f>
        <v>0</v>
      </c>
      <c r="K36" s="24">
        <f t="shared" si="3"/>
        <v>0</v>
      </c>
      <c r="L36" s="25" t="str">
        <f>IF(H36="","",IF(H36/35&lt;=Configurazione!C21,"Trascurabile",IF(H36/35&lt;=Configurazione!C22,"Moderato","Rilevante")))</f>
        <v>Trascurabile</v>
      </c>
      <c r="M36" s="25" t="str">
        <f>IF(J36=0,"N/A",IF(J36/27&lt;=Configurazione!C26,"Trascurabile",IF(J36/27&lt;=Configurazione!C27,"Moderato","Rilevante")))</f>
        <v>N/A</v>
      </c>
    </row>
    <row r="37" spans="1:13" x14ac:dyDescent="0.25">
      <c r="A37" s="18" t="str">
        <f>DataEntry_Standard!A39</f>
        <v>COMP-035</v>
      </c>
      <c r="B37" s="18">
        <f>DataEntry_Standard!C39</f>
        <v>0</v>
      </c>
      <c r="C37" s="24">
        <f>IF(DataEntry_Standard!D39&lt;&gt;"",DataEntry_Standard!D39,0)+IF(DataEntry_Standard!E39&lt;&gt;"",6-DataEntry_Standard!E39,0)+IF(DataEntry_Standard!F39&lt;&gt;"",6-DataEntry_Standard!F39,0)+IF(DataEntry_Standard!G39&lt;&gt;"",DataEntry_Standard!G39,0)+IF(DataEntry_Standard!H39&lt;&gt;"",6-DataEntry_Standard!H39,0)+IF(DataEntry_Standard!I39&lt;&gt;"",DataEntry_Standard!I39,0)+IF(DataEntry_Standard!J39&lt;&gt;"",DataEntry_Standard!J39,0)+IF(DataEntry_Standard!K39&lt;&gt;"",DataEntry_Standard!K39,0)+IF(DataEntry_Standard!L39&lt;&gt;"",DataEntry_Standard!L39,0)+IF(DataEntry_Standard!M39&lt;&gt;"",DataEntry_Standard!M39,0)</f>
        <v>0</v>
      </c>
      <c r="D37" s="24">
        <f>IF(DataEntry_Standard!N39&lt;&gt;"",DataEntry_Standard!N39,0)+IF(DataEntry_Standard!O39&lt;&gt;"",DataEntry_Standard!O39,0)+IF(DataEntry_Standard!P39&lt;&gt;"",DataEntry_Standard!P39,0)+IF(DataEntry_Standard!Q39&lt;&gt;"",6-DataEntry_Standard!Q39,0)+IF(DataEntry_Standard!R39&lt;&gt;"",6-DataEntry_Standard!R39,0)+IF(DataEntry_Standard!S39&lt;&gt;"",6-DataEntry_Standard!S39,0)+IF(DataEntry_Standard!T39&lt;&gt;"",DataEntry_Standard!T39,0)+IF(DataEntry_Standard!U39&lt;&gt;"",DataEntry_Standard!U39,0)+IF(DataEntry_Standard!V39&lt;&gt;"",DataEntry_Standard!V39,0)</f>
        <v>0</v>
      </c>
      <c r="E37" s="24">
        <f>IF(DataEntry_Standard!W39&lt;&gt;"",DataEntry_Standard!W39,0)+IF(DataEntry_Standard!X39&lt;&gt;"",6-DataEntry_Standard!X39,0)+IF(DataEntry_Standard!Y39&lt;&gt;"",6-DataEntry_Standard!Y39,0)+IF(DataEntry_Standard!Z39&lt;&gt;"",DataEntry_Standard!Z39,0)+IF(DataEntry_Standard!AA39&lt;&gt;"",6-DataEntry_Standard!AA39,0)+IF(DataEntry_Standard!AB39&lt;&gt;"",DataEntry_Standard!AB39,0)+IF(DataEntry_Standard!AC39&lt;&gt;"",DataEntry_Standard!AC39,0)+IF(DataEntry_Standard!AD39&lt;&gt;"",DataEntry_Standard!AD39,0)</f>
        <v>0</v>
      </c>
      <c r="F37" s="24">
        <f>IF(DataEntry_Standard!AE39&lt;&gt;"",DataEntry_Standard!AE39,0)+IF(DataEntry_Standard!AF39&lt;&gt;"",DataEntry_Standard!AF39,0)+IF(DataEntry_Standard!AG39&lt;&gt;"",6-DataEntry_Standard!AG39,0)+IF(DataEntry_Standard!AH39&lt;&gt;"",DataEntry_Standard!AH39,0)+IF(DataEntry_Standard!AI39&lt;&gt;"",6-DataEntry_Standard!AI39,0)</f>
        <v>0</v>
      </c>
      <c r="G37" s="24">
        <f>IF(DataEntry_Standard!AJ39&lt;&gt;"",DataEntry_Standard!AJ39,0)+IF(DataEntry_Standard!AK39&lt;&gt;"",6-DataEntry_Standard!AK39,0)+IF(DataEntry_Standard!AL39&lt;&gt;"",DataEntry_Standard!AL39,0)</f>
        <v>0</v>
      </c>
      <c r="H37" s="24">
        <f t="shared" si="2"/>
        <v>0</v>
      </c>
      <c r="I37" s="24">
        <f>IF(DataEntry_Standard!D39&gt;=4,1,0)+IF(DataEntry_Standard!G39&gt;=4,1,0)+IF(DataEntry_Standard!I39&gt;=4,1,0)+IF(DataEntry_Standard!J39&gt;=4,1,0)+IF(DataEntry_Standard!K39&gt;=4,1,0)+IF(DataEntry_Standard!L39&gt;=4,1,0)+IF(DataEntry_Standard!M39&gt;=4,1,0)+IF(DataEntry_Standard!N39&gt;=4,1,0)+IF(DataEntry_Standard!O39&gt;=4,1,0)+IF(DataEntry_Standard!P39&gt;=4,1,0)+IF(DataEntry_Standard!T39&gt;=4,1,0)+IF(DataEntry_Standard!U39&gt;=4,1,0)+IF(DataEntry_Standard!V39&gt;=4,1,0)+IF(DataEntry_Standard!W39&gt;=4,1,0)+IF(DataEntry_Standard!Z39&gt;=4,1,0)+IF(DataEntry_Standard!AB39&gt;=4,1,0)+IF(DataEntry_Standard!AC39&gt;=4,1,0)+IF(DataEntry_Standard!AD39&gt;=4,1,0)+IF(DataEntry_Standard!AE39&gt;=4,1,0)+IF(DataEntry_Standard!AF39&gt;=4,1,0)+IF(DataEntry_Standard!AH39&gt;=4,1,0)+IF(DataEntry_Standard!AJ39&gt;=4,1,0)+IF(DataEntry_Standard!AL39&gt;=4,1,0)+IF(DataEntry_Standard!AI39&lt;=2,1,0)+IF(DataEntry_Standard!E39&lt;=2,1,0)+IF(DataEntry_Standard!F39&lt;=2,1,0)+IF(DataEntry_Standard!AK39&lt;=2,1,0)+IF(DataEntry_Standard!H39&lt;=2,1,0)+IF(DataEntry_Standard!Q39&lt;=2,1,0)+IF(DataEntry_Standard!R39&lt;=2,1,0)+IF(DataEntry_Standard!S39&lt;=2,1,0)+IF(DataEntry_Standard!X39&lt;=2,1,0)+IF(DataEntry_Standard!Y39&lt;=2,1,0)+IF(DataEntry_Standard!AA39&lt;=2,1,0)+IF(DataEntry_Standard!AG39&lt;=2,1,0)</f>
        <v>12</v>
      </c>
      <c r="J37" s="24">
        <f>IF(DataEntry_SmartICT!D39&lt;&gt;"",DataEntry_SmartICT!D39,0)+IF(DataEntry_SmartICT!E39&lt;&gt;"",DataEntry_SmartICT!E39,0)+IF(DataEntry_SmartICT!F39&lt;&gt;"",6-DataEntry_SmartICT!F39,0)+IF(DataEntry_SmartICT!G39&lt;&gt;"",6-DataEntry_SmartICT!G39,0)+IF(DataEntry_SmartICT!H39&lt;&gt;"",DataEntry_SmartICT!H39,0)+IF(DataEntry_SmartICT!I39&lt;&gt;"",DataEntry_SmartICT!I39,0)+IF(DataEntry_SmartICT!J39&lt;&gt;"",6-DataEntry_SmartICT!J39,0)+IF(DataEntry_SmartICT!K39&lt;&gt;"",DataEntry_SmartICT!K39,0)+IF(DataEntry_SmartICT!L39&lt;&gt;"",6-DataEntry_SmartICT!L39,0)+IF(DataEntry_SmartICT!M39&lt;&gt;"",DataEntry_SmartICT!M39,0)+IF(DataEntry_SmartICT!N39&lt;&gt;"",6-DataEntry_SmartICT!N39,0)+IF(DataEntry_SmartICT!O39&lt;&gt;"",6-DataEntry_SmartICT!O39,0)+IF(DataEntry_SmartICT!P39&lt;&gt;"",6-DataEntry_SmartICT!P39,0)+IF(DataEntry_SmartICT!Q39&lt;&gt;"",6-DataEntry_SmartICT!Q39,0)+IF(DataEntry_SmartICT!R39&lt;&gt;"",6-DataEntry_SmartICT!R39,0)+IF(DataEntry_SmartICT!S39&lt;&gt;"",6-DataEntry_SmartICT!S39,0)+IF(DataEntry_SmartICT!T39&lt;&gt;"",6-DataEntry_SmartICT!T39,0)+IF(DataEntry_SmartICT!U39&lt;&gt;"",6-DataEntry_SmartICT!U39,0)+IF(DataEntry_SmartICT!V39&lt;&gt;"",DataEntry_SmartICT!V39,0)+IF(DataEntry_SmartICT!W39&lt;&gt;"",DataEntry_SmartICT!W39,0)+IF(DataEntry_SmartICT!X39&lt;&gt;"",DataEntry_SmartICT!X39,0)+IF(DataEntry_SmartICT!Y39&lt;&gt;"",6-DataEntry_SmartICT!Y39,0)+IF(DataEntry_SmartICT!Z39&lt;&gt;"",6-DataEntry_SmartICT!Z39,0)+IF(DataEntry_SmartICT!AA39&lt;&gt;"",DataEntry_SmartICT!AA39,0)+IF(DataEntry_SmartICT!AB39&lt;&gt;"",DataEntry_SmartICT!AB39,0)+IF(DataEntry_SmartICT!AC39&lt;&gt;"",6-DataEntry_SmartICT!AC39,0)+IF(DataEntry_SmartICT!AD39&lt;&gt;"",DataEntry_SmartICT!AD39,0)</f>
        <v>0</v>
      </c>
      <c r="K37" s="24">
        <f t="shared" si="3"/>
        <v>0</v>
      </c>
      <c r="L37" s="25" t="str">
        <f>IF(H37="","",IF(H37/35&lt;=Configurazione!C21,"Trascurabile",IF(H37/35&lt;=Configurazione!C22,"Moderato","Rilevante")))</f>
        <v>Trascurabile</v>
      </c>
      <c r="M37" s="25" t="str">
        <f>IF(J37=0,"N/A",IF(J37/27&lt;=Configurazione!C26,"Trascurabile",IF(J37/27&lt;=Configurazione!C27,"Moderato","Rilevante")))</f>
        <v>N/A</v>
      </c>
    </row>
    <row r="38" spans="1:13" x14ac:dyDescent="0.25">
      <c r="A38" s="18" t="str">
        <f>DataEntry_Standard!A40</f>
        <v>COMP-036</v>
      </c>
      <c r="B38" s="18">
        <f>DataEntry_Standard!C40</f>
        <v>0</v>
      </c>
      <c r="C38" s="24">
        <f>IF(DataEntry_Standard!D40&lt;&gt;"",DataEntry_Standard!D40,0)+IF(DataEntry_Standard!E40&lt;&gt;"",6-DataEntry_Standard!E40,0)+IF(DataEntry_Standard!F40&lt;&gt;"",6-DataEntry_Standard!F40,0)+IF(DataEntry_Standard!G40&lt;&gt;"",DataEntry_Standard!G40,0)+IF(DataEntry_Standard!H40&lt;&gt;"",6-DataEntry_Standard!H40,0)+IF(DataEntry_Standard!I40&lt;&gt;"",DataEntry_Standard!I40,0)+IF(DataEntry_Standard!J40&lt;&gt;"",DataEntry_Standard!J40,0)+IF(DataEntry_Standard!K40&lt;&gt;"",DataEntry_Standard!K40,0)+IF(DataEntry_Standard!L40&lt;&gt;"",DataEntry_Standard!L40,0)+IF(DataEntry_Standard!M40&lt;&gt;"",DataEntry_Standard!M40,0)</f>
        <v>0</v>
      </c>
      <c r="D38" s="24">
        <f>IF(DataEntry_Standard!N40&lt;&gt;"",DataEntry_Standard!N40,0)+IF(DataEntry_Standard!O40&lt;&gt;"",DataEntry_Standard!O40,0)+IF(DataEntry_Standard!P40&lt;&gt;"",DataEntry_Standard!P40,0)+IF(DataEntry_Standard!Q40&lt;&gt;"",6-DataEntry_Standard!Q40,0)+IF(DataEntry_Standard!R40&lt;&gt;"",6-DataEntry_Standard!R40,0)+IF(DataEntry_Standard!S40&lt;&gt;"",6-DataEntry_Standard!S40,0)+IF(DataEntry_Standard!T40&lt;&gt;"",DataEntry_Standard!T40,0)+IF(DataEntry_Standard!U40&lt;&gt;"",DataEntry_Standard!U40,0)+IF(DataEntry_Standard!V40&lt;&gt;"",DataEntry_Standard!V40,0)</f>
        <v>0</v>
      </c>
      <c r="E38" s="24">
        <f>IF(DataEntry_Standard!W40&lt;&gt;"",DataEntry_Standard!W40,0)+IF(DataEntry_Standard!X40&lt;&gt;"",6-DataEntry_Standard!X40,0)+IF(DataEntry_Standard!Y40&lt;&gt;"",6-DataEntry_Standard!Y40,0)+IF(DataEntry_Standard!Z40&lt;&gt;"",DataEntry_Standard!Z40,0)+IF(DataEntry_Standard!AA40&lt;&gt;"",6-DataEntry_Standard!AA40,0)+IF(DataEntry_Standard!AB40&lt;&gt;"",DataEntry_Standard!AB40,0)+IF(DataEntry_Standard!AC40&lt;&gt;"",DataEntry_Standard!AC40,0)+IF(DataEntry_Standard!AD40&lt;&gt;"",DataEntry_Standard!AD40,0)</f>
        <v>0</v>
      </c>
      <c r="F38" s="24">
        <f>IF(DataEntry_Standard!AE40&lt;&gt;"",DataEntry_Standard!AE40,0)+IF(DataEntry_Standard!AF40&lt;&gt;"",DataEntry_Standard!AF40,0)+IF(DataEntry_Standard!AG40&lt;&gt;"",6-DataEntry_Standard!AG40,0)+IF(DataEntry_Standard!AH40&lt;&gt;"",DataEntry_Standard!AH40,0)+IF(DataEntry_Standard!AI40&lt;&gt;"",6-DataEntry_Standard!AI40,0)</f>
        <v>0</v>
      </c>
      <c r="G38" s="24">
        <f>IF(DataEntry_Standard!AJ40&lt;&gt;"",DataEntry_Standard!AJ40,0)+IF(DataEntry_Standard!AK40&lt;&gt;"",6-DataEntry_Standard!AK40,0)+IF(DataEntry_Standard!AL40&lt;&gt;"",DataEntry_Standard!AL40,0)</f>
        <v>0</v>
      </c>
      <c r="H38" s="24">
        <f t="shared" si="2"/>
        <v>0</v>
      </c>
      <c r="I38" s="24">
        <f>IF(DataEntry_Standard!D40&gt;=4,1,0)+IF(DataEntry_Standard!G40&gt;=4,1,0)+IF(DataEntry_Standard!I40&gt;=4,1,0)+IF(DataEntry_Standard!J40&gt;=4,1,0)+IF(DataEntry_Standard!K40&gt;=4,1,0)+IF(DataEntry_Standard!L40&gt;=4,1,0)+IF(DataEntry_Standard!M40&gt;=4,1,0)+IF(DataEntry_Standard!N40&gt;=4,1,0)+IF(DataEntry_Standard!O40&gt;=4,1,0)+IF(DataEntry_Standard!P40&gt;=4,1,0)+IF(DataEntry_Standard!T40&gt;=4,1,0)+IF(DataEntry_Standard!U40&gt;=4,1,0)+IF(DataEntry_Standard!V40&gt;=4,1,0)+IF(DataEntry_Standard!W40&gt;=4,1,0)+IF(DataEntry_Standard!Z40&gt;=4,1,0)+IF(DataEntry_Standard!AB40&gt;=4,1,0)+IF(DataEntry_Standard!AC40&gt;=4,1,0)+IF(DataEntry_Standard!AD40&gt;=4,1,0)+IF(DataEntry_Standard!AE40&gt;=4,1,0)+IF(DataEntry_Standard!AF40&gt;=4,1,0)+IF(DataEntry_Standard!AH40&gt;=4,1,0)+IF(DataEntry_Standard!AJ40&gt;=4,1,0)+IF(DataEntry_Standard!AL40&gt;=4,1,0)+IF(DataEntry_Standard!AI40&lt;=2,1,0)+IF(DataEntry_Standard!E40&lt;=2,1,0)+IF(DataEntry_Standard!F40&lt;=2,1,0)+IF(DataEntry_Standard!AK40&lt;=2,1,0)+IF(DataEntry_Standard!H40&lt;=2,1,0)+IF(DataEntry_Standard!Q40&lt;=2,1,0)+IF(DataEntry_Standard!R40&lt;=2,1,0)+IF(DataEntry_Standard!S40&lt;=2,1,0)+IF(DataEntry_Standard!X40&lt;=2,1,0)+IF(DataEntry_Standard!Y40&lt;=2,1,0)+IF(DataEntry_Standard!AA40&lt;=2,1,0)+IF(DataEntry_Standard!AG40&lt;=2,1,0)</f>
        <v>12</v>
      </c>
      <c r="J38" s="24">
        <f>IF(DataEntry_SmartICT!D40&lt;&gt;"",DataEntry_SmartICT!D40,0)+IF(DataEntry_SmartICT!E40&lt;&gt;"",DataEntry_SmartICT!E40,0)+IF(DataEntry_SmartICT!F40&lt;&gt;"",6-DataEntry_SmartICT!F40,0)+IF(DataEntry_SmartICT!G40&lt;&gt;"",6-DataEntry_SmartICT!G40,0)+IF(DataEntry_SmartICT!H40&lt;&gt;"",DataEntry_SmartICT!H40,0)+IF(DataEntry_SmartICT!I40&lt;&gt;"",DataEntry_SmartICT!I40,0)+IF(DataEntry_SmartICT!J40&lt;&gt;"",6-DataEntry_SmartICT!J40,0)+IF(DataEntry_SmartICT!K40&lt;&gt;"",DataEntry_SmartICT!K40,0)+IF(DataEntry_SmartICT!L40&lt;&gt;"",6-DataEntry_SmartICT!L40,0)+IF(DataEntry_SmartICT!M40&lt;&gt;"",DataEntry_SmartICT!M40,0)+IF(DataEntry_SmartICT!N40&lt;&gt;"",6-DataEntry_SmartICT!N40,0)+IF(DataEntry_SmartICT!O40&lt;&gt;"",6-DataEntry_SmartICT!O40,0)+IF(DataEntry_SmartICT!P40&lt;&gt;"",6-DataEntry_SmartICT!P40,0)+IF(DataEntry_SmartICT!Q40&lt;&gt;"",6-DataEntry_SmartICT!Q40,0)+IF(DataEntry_SmartICT!R40&lt;&gt;"",6-DataEntry_SmartICT!R40,0)+IF(DataEntry_SmartICT!S40&lt;&gt;"",6-DataEntry_SmartICT!S40,0)+IF(DataEntry_SmartICT!T40&lt;&gt;"",6-DataEntry_SmartICT!T40,0)+IF(DataEntry_SmartICT!U40&lt;&gt;"",6-DataEntry_SmartICT!U40,0)+IF(DataEntry_SmartICT!V40&lt;&gt;"",DataEntry_SmartICT!V40,0)+IF(DataEntry_SmartICT!W40&lt;&gt;"",DataEntry_SmartICT!W40,0)+IF(DataEntry_SmartICT!X40&lt;&gt;"",DataEntry_SmartICT!X40,0)+IF(DataEntry_SmartICT!Y40&lt;&gt;"",6-DataEntry_SmartICT!Y40,0)+IF(DataEntry_SmartICT!Z40&lt;&gt;"",6-DataEntry_SmartICT!Z40,0)+IF(DataEntry_SmartICT!AA40&lt;&gt;"",DataEntry_SmartICT!AA40,0)+IF(DataEntry_SmartICT!AB40&lt;&gt;"",DataEntry_SmartICT!AB40,0)+IF(DataEntry_SmartICT!AC40&lt;&gt;"",6-DataEntry_SmartICT!AC40,0)+IF(DataEntry_SmartICT!AD40&lt;&gt;"",DataEntry_SmartICT!AD40,0)</f>
        <v>0</v>
      </c>
      <c r="K38" s="24">
        <f t="shared" si="3"/>
        <v>0</v>
      </c>
      <c r="L38" s="25" t="str">
        <f>IF(H38="","",IF(H38/35&lt;=Configurazione!C21,"Trascurabile",IF(H38/35&lt;=Configurazione!C22,"Moderato","Rilevante")))</f>
        <v>Trascurabile</v>
      </c>
      <c r="M38" s="25" t="str">
        <f>IF(J38=0,"N/A",IF(J38/27&lt;=Configurazione!C26,"Trascurabile",IF(J38/27&lt;=Configurazione!C27,"Moderato","Rilevante")))</f>
        <v>N/A</v>
      </c>
    </row>
    <row r="39" spans="1:13" x14ac:dyDescent="0.25">
      <c r="A39" s="18" t="str">
        <f>DataEntry_Standard!A41</f>
        <v>COMP-037</v>
      </c>
      <c r="B39" s="18">
        <f>DataEntry_Standard!C41</f>
        <v>0</v>
      </c>
      <c r="C39" s="24">
        <f>IF(DataEntry_Standard!D41&lt;&gt;"",DataEntry_Standard!D41,0)+IF(DataEntry_Standard!E41&lt;&gt;"",6-DataEntry_Standard!E41,0)+IF(DataEntry_Standard!F41&lt;&gt;"",6-DataEntry_Standard!F41,0)+IF(DataEntry_Standard!G41&lt;&gt;"",DataEntry_Standard!G41,0)+IF(DataEntry_Standard!H41&lt;&gt;"",6-DataEntry_Standard!H41,0)+IF(DataEntry_Standard!I41&lt;&gt;"",DataEntry_Standard!I41,0)+IF(DataEntry_Standard!J41&lt;&gt;"",DataEntry_Standard!J41,0)+IF(DataEntry_Standard!K41&lt;&gt;"",DataEntry_Standard!K41,0)+IF(DataEntry_Standard!L41&lt;&gt;"",DataEntry_Standard!L41,0)+IF(DataEntry_Standard!M41&lt;&gt;"",DataEntry_Standard!M41,0)</f>
        <v>0</v>
      </c>
      <c r="D39" s="24">
        <f>IF(DataEntry_Standard!N41&lt;&gt;"",DataEntry_Standard!N41,0)+IF(DataEntry_Standard!O41&lt;&gt;"",DataEntry_Standard!O41,0)+IF(DataEntry_Standard!P41&lt;&gt;"",DataEntry_Standard!P41,0)+IF(DataEntry_Standard!Q41&lt;&gt;"",6-DataEntry_Standard!Q41,0)+IF(DataEntry_Standard!R41&lt;&gt;"",6-DataEntry_Standard!R41,0)+IF(DataEntry_Standard!S41&lt;&gt;"",6-DataEntry_Standard!S41,0)+IF(DataEntry_Standard!T41&lt;&gt;"",DataEntry_Standard!T41,0)+IF(DataEntry_Standard!U41&lt;&gt;"",DataEntry_Standard!U41,0)+IF(DataEntry_Standard!V41&lt;&gt;"",DataEntry_Standard!V41,0)</f>
        <v>0</v>
      </c>
      <c r="E39" s="24">
        <f>IF(DataEntry_Standard!W41&lt;&gt;"",DataEntry_Standard!W41,0)+IF(DataEntry_Standard!X41&lt;&gt;"",6-DataEntry_Standard!X41,0)+IF(DataEntry_Standard!Y41&lt;&gt;"",6-DataEntry_Standard!Y41,0)+IF(DataEntry_Standard!Z41&lt;&gt;"",DataEntry_Standard!Z41,0)+IF(DataEntry_Standard!AA41&lt;&gt;"",6-DataEntry_Standard!AA41,0)+IF(DataEntry_Standard!AB41&lt;&gt;"",DataEntry_Standard!AB41,0)+IF(DataEntry_Standard!AC41&lt;&gt;"",DataEntry_Standard!AC41,0)+IF(DataEntry_Standard!AD41&lt;&gt;"",DataEntry_Standard!AD41,0)</f>
        <v>0</v>
      </c>
      <c r="F39" s="24">
        <f>IF(DataEntry_Standard!AE41&lt;&gt;"",DataEntry_Standard!AE41,0)+IF(DataEntry_Standard!AF41&lt;&gt;"",DataEntry_Standard!AF41,0)+IF(DataEntry_Standard!AG41&lt;&gt;"",6-DataEntry_Standard!AG41,0)+IF(DataEntry_Standard!AH41&lt;&gt;"",DataEntry_Standard!AH41,0)+IF(DataEntry_Standard!AI41&lt;&gt;"",6-DataEntry_Standard!AI41,0)</f>
        <v>0</v>
      </c>
      <c r="G39" s="24">
        <f>IF(DataEntry_Standard!AJ41&lt;&gt;"",DataEntry_Standard!AJ41,0)+IF(DataEntry_Standard!AK41&lt;&gt;"",6-DataEntry_Standard!AK41,0)+IF(DataEntry_Standard!AL41&lt;&gt;"",DataEntry_Standard!AL41,0)</f>
        <v>0</v>
      </c>
      <c r="H39" s="24">
        <f t="shared" si="2"/>
        <v>0</v>
      </c>
      <c r="I39" s="24">
        <f>IF(DataEntry_Standard!D41&gt;=4,1,0)+IF(DataEntry_Standard!G41&gt;=4,1,0)+IF(DataEntry_Standard!I41&gt;=4,1,0)+IF(DataEntry_Standard!J41&gt;=4,1,0)+IF(DataEntry_Standard!K41&gt;=4,1,0)+IF(DataEntry_Standard!L41&gt;=4,1,0)+IF(DataEntry_Standard!M41&gt;=4,1,0)+IF(DataEntry_Standard!N41&gt;=4,1,0)+IF(DataEntry_Standard!O41&gt;=4,1,0)+IF(DataEntry_Standard!P41&gt;=4,1,0)+IF(DataEntry_Standard!T41&gt;=4,1,0)+IF(DataEntry_Standard!U41&gt;=4,1,0)+IF(DataEntry_Standard!V41&gt;=4,1,0)+IF(DataEntry_Standard!W41&gt;=4,1,0)+IF(DataEntry_Standard!Z41&gt;=4,1,0)+IF(DataEntry_Standard!AB41&gt;=4,1,0)+IF(DataEntry_Standard!AC41&gt;=4,1,0)+IF(DataEntry_Standard!AD41&gt;=4,1,0)+IF(DataEntry_Standard!AE41&gt;=4,1,0)+IF(DataEntry_Standard!AF41&gt;=4,1,0)+IF(DataEntry_Standard!AH41&gt;=4,1,0)+IF(DataEntry_Standard!AJ41&gt;=4,1,0)+IF(DataEntry_Standard!AL41&gt;=4,1,0)+IF(DataEntry_Standard!AI41&lt;=2,1,0)+IF(DataEntry_Standard!E41&lt;=2,1,0)+IF(DataEntry_Standard!F41&lt;=2,1,0)+IF(DataEntry_Standard!AK41&lt;=2,1,0)+IF(DataEntry_Standard!H41&lt;=2,1,0)+IF(DataEntry_Standard!Q41&lt;=2,1,0)+IF(DataEntry_Standard!R41&lt;=2,1,0)+IF(DataEntry_Standard!S41&lt;=2,1,0)+IF(DataEntry_Standard!X41&lt;=2,1,0)+IF(DataEntry_Standard!Y41&lt;=2,1,0)+IF(DataEntry_Standard!AA41&lt;=2,1,0)+IF(DataEntry_Standard!AG41&lt;=2,1,0)</f>
        <v>12</v>
      </c>
      <c r="J39" s="24">
        <f>IF(DataEntry_SmartICT!D41&lt;&gt;"",DataEntry_SmartICT!D41,0)+IF(DataEntry_SmartICT!E41&lt;&gt;"",DataEntry_SmartICT!E41,0)+IF(DataEntry_SmartICT!F41&lt;&gt;"",6-DataEntry_SmartICT!F41,0)+IF(DataEntry_SmartICT!G41&lt;&gt;"",6-DataEntry_SmartICT!G41,0)+IF(DataEntry_SmartICT!H41&lt;&gt;"",DataEntry_SmartICT!H41,0)+IF(DataEntry_SmartICT!I41&lt;&gt;"",DataEntry_SmartICT!I41,0)+IF(DataEntry_SmartICT!J41&lt;&gt;"",6-DataEntry_SmartICT!J41,0)+IF(DataEntry_SmartICT!K41&lt;&gt;"",DataEntry_SmartICT!K41,0)+IF(DataEntry_SmartICT!L41&lt;&gt;"",6-DataEntry_SmartICT!L41,0)+IF(DataEntry_SmartICT!M41&lt;&gt;"",DataEntry_SmartICT!M41,0)+IF(DataEntry_SmartICT!N41&lt;&gt;"",6-DataEntry_SmartICT!N41,0)+IF(DataEntry_SmartICT!O41&lt;&gt;"",6-DataEntry_SmartICT!O41,0)+IF(DataEntry_SmartICT!P41&lt;&gt;"",6-DataEntry_SmartICT!P41,0)+IF(DataEntry_SmartICT!Q41&lt;&gt;"",6-DataEntry_SmartICT!Q41,0)+IF(DataEntry_SmartICT!R41&lt;&gt;"",6-DataEntry_SmartICT!R41,0)+IF(DataEntry_SmartICT!S41&lt;&gt;"",6-DataEntry_SmartICT!S41,0)+IF(DataEntry_SmartICT!T41&lt;&gt;"",6-DataEntry_SmartICT!T41,0)+IF(DataEntry_SmartICT!U41&lt;&gt;"",6-DataEntry_SmartICT!U41,0)+IF(DataEntry_SmartICT!V41&lt;&gt;"",DataEntry_SmartICT!V41,0)+IF(DataEntry_SmartICT!W41&lt;&gt;"",DataEntry_SmartICT!W41,0)+IF(DataEntry_SmartICT!X41&lt;&gt;"",DataEntry_SmartICT!X41,0)+IF(DataEntry_SmartICT!Y41&lt;&gt;"",6-DataEntry_SmartICT!Y41,0)+IF(DataEntry_SmartICT!Z41&lt;&gt;"",6-DataEntry_SmartICT!Z41,0)+IF(DataEntry_SmartICT!AA41&lt;&gt;"",DataEntry_SmartICT!AA41,0)+IF(DataEntry_SmartICT!AB41&lt;&gt;"",DataEntry_SmartICT!AB41,0)+IF(DataEntry_SmartICT!AC41&lt;&gt;"",6-DataEntry_SmartICT!AC41,0)+IF(DataEntry_SmartICT!AD41&lt;&gt;"",DataEntry_SmartICT!AD41,0)</f>
        <v>0</v>
      </c>
      <c r="K39" s="24">
        <f t="shared" si="3"/>
        <v>0</v>
      </c>
      <c r="L39" s="25" t="str">
        <f>IF(H39="","",IF(H39/35&lt;=Configurazione!C21,"Trascurabile",IF(H39/35&lt;=Configurazione!C22,"Moderato","Rilevante")))</f>
        <v>Trascurabile</v>
      </c>
      <c r="M39" s="25" t="str">
        <f>IF(J39=0,"N/A",IF(J39/27&lt;=Configurazione!C26,"Trascurabile",IF(J39/27&lt;=Configurazione!C27,"Moderato","Rilevante")))</f>
        <v>N/A</v>
      </c>
    </row>
    <row r="40" spans="1:13" x14ac:dyDescent="0.25">
      <c r="A40" s="18" t="str">
        <f>DataEntry_Standard!A42</f>
        <v>COMP-038</v>
      </c>
      <c r="B40" s="18">
        <f>DataEntry_Standard!C42</f>
        <v>0</v>
      </c>
      <c r="C40" s="24">
        <f>IF(DataEntry_Standard!D42&lt;&gt;"",DataEntry_Standard!D42,0)+IF(DataEntry_Standard!E42&lt;&gt;"",6-DataEntry_Standard!E42,0)+IF(DataEntry_Standard!F42&lt;&gt;"",6-DataEntry_Standard!F42,0)+IF(DataEntry_Standard!G42&lt;&gt;"",DataEntry_Standard!G42,0)+IF(DataEntry_Standard!H42&lt;&gt;"",6-DataEntry_Standard!H42,0)+IF(DataEntry_Standard!I42&lt;&gt;"",DataEntry_Standard!I42,0)+IF(DataEntry_Standard!J42&lt;&gt;"",DataEntry_Standard!J42,0)+IF(DataEntry_Standard!K42&lt;&gt;"",DataEntry_Standard!K42,0)+IF(DataEntry_Standard!L42&lt;&gt;"",DataEntry_Standard!L42,0)+IF(DataEntry_Standard!M42&lt;&gt;"",DataEntry_Standard!M42,0)</f>
        <v>0</v>
      </c>
      <c r="D40" s="24">
        <f>IF(DataEntry_Standard!N42&lt;&gt;"",DataEntry_Standard!N42,0)+IF(DataEntry_Standard!O42&lt;&gt;"",DataEntry_Standard!O42,0)+IF(DataEntry_Standard!P42&lt;&gt;"",DataEntry_Standard!P42,0)+IF(DataEntry_Standard!Q42&lt;&gt;"",6-DataEntry_Standard!Q42,0)+IF(DataEntry_Standard!R42&lt;&gt;"",6-DataEntry_Standard!R42,0)+IF(DataEntry_Standard!S42&lt;&gt;"",6-DataEntry_Standard!S42,0)+IF(DataEntry_Standard!T42&lt;&gt;"",DataEntry_Standard!T42,0)+IF(DataEntry_Standard!U42&lt;&gt;"",DataEntry_Standard!U42,0)+IF(DataEntry_Standard!V42&lt;&gt;"",DataEntry_Standard!V42,0)</f>
        <v>0</v>
      </c>
      <c r="E40" s="24">
        <f>IF(DataEntry_Standard!W42&lt;&gt;"",DataEntry_Standard!W42,0)+IF(DataEntry_Standard!X42&lt;&gt;"",6-DataEntry_Standard!X42,0)+IF(DataEntry_Standard!Y42&lt;&gt;"",6-DataEntry_Standard!Y42,0)+IF(DataEntry_Standard!Z42&lt;&gt;"",DataEntry_Standard!Z42,0)+IF(DataEntry_Standard!AA42&lt;&gt;"",6-DataEntry_Standard!AA42,0)+IF(DataEntry_Standard!AB42&lt;&gt;"",DataEntry_Standard!AB42,0)+IF(DataEntry_Standard!AC42&lt;&gt;"",DataEntry_Standard!AC42,0)+IF(DataEntry_Standard!AD42&lt;&gt;"",DataEntry_Standard!AD42,0)</f>
        <v>0</v>
      </c>
      <c r="F40" s="24">
        <f>IF(DataEntry_Standard!AE42&lt;&gt;"",DataEntry_Standard!AE42,0)+IF(DataEntry_Standard!AF42&lt;&gt;"",DataEntry_Standard!AF42,0)+IF(DataEntry_Standard!AG42&lt;&gt;"",6-DataEntry_Standard!AG42,0)+IF(DataEntry_Standard!AH42&lt;&gt;"",DataEntry_Standard!AH42,0)+IF(DataEntry_Standard!AI42&lt;&gt;"",6-DataEntry_Standard!AI42,0)</f>
        <v>0</v>
      </c>
      <c r="G40" s="24">
        <f>IF(DataEntry_Standard!AJ42&lt;&gt;"",DataEntry_Standard!AJ42,0)+IF(DataEntry_Standard!AK42&lt;&gt;"",6-DataEntry_Standard!AK42,0)+IF(DataEntry_Standard!AL42&lt;&gt;"",DataEntry_Standard!AL42,0)</f>
        <v>0</v>
      </c>
      <c r="H40" s="24">
        <f t="shared" si="2"/>
        <v>0</v>
      </c>
      <c r="I40" s="24">
        <f>IF(DataEntry_Standard!D42&gt;=4,1,0)+IF(DataEntry_Standard!G42&gt;=4,1,0)+IF(DataEntry_Standard!I42&gt;=4,1,0)+IF(DataEntry_Standard!J42&gt;=4,1,0)+IF(DataEntry_Standard!K42&gt;=4,1,0)+IF(DataEntry_Standard!L42&gt;=4,1,0)+IF(DataEntry_Standard!M42&gt;=4,1,0)+IF(DataEntry_Standard!N42&gt;=4,1,0)+IF(DataEntry_Standard!O42&gt;=4,1,0)+IF(DataEntry_Standard!P42&gt;=4,1,0)+IF(DataEntry_Standard!T42&gt;=4,1,0)+IF(DataEntry_Standard!U42&gt;=4,1,0)+IF(DataEntry_Standard!V42&gt;=4,1,0)+IF(DataEntry_Standard!W42&gt;=4,1,0)+IF(DataEntry_Standard!Z42&gt;=4,1,0)+IF(DataEntry_Standard!AB42&gt;=4,1,0)+IF(DataEntry_Standard!AC42&gt;=4,1,0)+IF(DataEntry_Standard!AD42&gt;=4,1,0)+IF(DataEntry_Standard!AE42&gt;=4,1,0)+IF(DataEntry_Standard!AF42&gt;=4,1,0)+IF(DataEntry_Standard!AH42&gt;=4,1,0)+IF(DataEntry_Standard!AJ42&gt;=4,1,0)+IF(DataEntry_Standard!AL42&gt;=4,1,0)+IF(DataEntry_Standard!AI42&lt;=2,1,0)+IF(DataEntry_Standard!E42&lt;=2,1,0)+IF(DataEntry_Standard!F42&lt;=2,1,0)+IF(DataEntry_Standard!AK42&lt;=2,1,0)+IF(DataEntry_Standard!H42&lt;=2,1,0)+IF(DataEntry_Standard!Q42&lt;=2,1,0)+IF(DataEntry_Standard!R42&lt;=2,1,0)+IF(DataEntry_Standard!S42&lt;=2,1,0)+IF(DataEntry_Standard!X42&lt;=2,1,0)+IF(DataEntry_Standard!Y42&lt;=2,1,0)+IF(DataEntry_Standard!AA42&lt;=2,1,0)+IF(DataEntry_Standard!AG42&lt;=2,1,0)</f>
        <v>12</v>
      </c>
      <c r="J40" s="24">
        <f>IF(DataEntry_SmartICT!D42&lt;&gt;"",DataEntry_SmartICT!D42,0)+IF(DataEntry_SmartICT!E42&lt;&gt;"",DataEntry_SmartICT!E42,0)+IF(DataEntry_SmartICT!F42&lt;&gt;"",6-DataEntry_SmartICT!F42,0)+IF(DataEntry_SmartICT!G42&lt;&gt;"",6-DataEntry_SmartICT!G42,0)+IF(DataEntry_SmartICT!H42&lt;&gt;"",DataEntry_SmartICT!H42,0)+IF(DataEntry_SmartICT!I42&lt;&gt;"",DataEntry_SmartICT!I42,0)+IF(DataEntry_SmartICT!J42&lt;&gt;"",6-DataEntry_SmartICT!J42,0)+IF(DataEntry_SmartICT!K42&lt;&gt;"",DataEntry_SmartICT!K42,0)+IF(DataEntry_SmartICT!L42&lt;&gt;"",6-DataEntry_SmartICT!L42,0)+IF(DataEntry_SmartICT!M42&lt;&gt;"",DataEntry_SmartICT!M42,0)+IF(DataEntry_SmartICT!N42&lt;&gt;"",6-DataEntry_SmartICT!N42,0)+IF(DataEntry_SmartICT!O42&lt;&gt;"",6-DataEntry_SmartICT!O42,0)+IF(DataEntry_SmartICT!P42&lt;&gt;"",6-DataEntry_SmartICT!P42,0)+IF(DataEntry_SmartICT!Q42&lt;&gt;"",6-DataEntry_SmartICT!Q42,0)+IF(DataEntry_SmartICT!R42&lt;&gt;"",6-DataEntry_SmartICT!R42,0)+IF(DataEntry_SmartICT!S42&lt;&gt;"",6-DataEntry_SmartICT!S42,0)+IF(DataEntry_SmartICT!T42&lt;&gt;"",6-DataEntry_SmartICT!T42,0)+IF(DataEntry_SmartICT!U42&lt;&gt;"",6-DataEntry_SmartICT!U42,0)+IF(DataEntry_SmartICT!V42&lt;&gt;"",DataEntry_SmartICT!V42,0)+IF(DataEntry_SmartICT!W42&lt;&gt;"",DataEntry_SmartICT!W42,0)+IF(DataEntry_SmartICT!X42&lt;&gt;"",DataEntry_SmartICT!X42,0)+IF(DataEntry_SmartICT!Y42&lt;&gt;"",6-DataEntry_SmartICT!Y42,0)+IF(DataEntry_SmartICT!Z42&lt;&gt;"",6-DataEntry_SmartICT!Z42,0)+IF(DataEntry_SmartICT!AA42&lt;&gt;"",DataEntry_SmartICT!AA42,0)+IF(DataEntry_SmartICT!AB42&lt;&gt;"",DataEntry_SmartICT!AB42,0)+IF(DataEntry_SmartICT!AC42&lt;&gt;"",6-DataEntry_SmartICT!AC42,0)+IF(DataEntry_SmartICT!AD42&lt;&gt;"",DataEntry_SmartICT!AD42,0)</f>
        <v>0</v>
      </c>
      <c r="K40" s="24">
        <f t="shared" si="3"/>
        <v>0</v>
      </c>
      <c r="L40" s="25" t="str">
        <f>IF(H40="","",IF(H40/35&lt;=Configurazione!C21,"Trascurabile",IF(H40/35&lt;=Configurazione!C22,"Moderato","Rilevante")))</f>
        <v>Trascurabile</v>
      </c>
      <c r="M40" s="25" t="str">
        <f>IF(J40=0,"N/A",IF(J40/27&lt;=Configurazione!C26,"Trascurabile",IF(J40/27&lt;=Configurazione!C27,"Moderato","Rilevante")))</f>
        <v>N/A</v>
      </c>
    </row>
    <row r="41" spans="1:13" x14ac:dyDescent="0.25">
      <c r="A41" s="18" t="str">
        <f>DataEntry_Standard!A43</f>
        <v>COMP-039</v>
      </c>
      <c r="B41" s="18">
        <f>DataEntry_Standard!C43</f>
        <v>0</v>
      </c>
      <c r="C41" s="24">
        <f>IF(DataEntry_Standard!D43&lt;&gt;"",DataEntry_Standard!D43,0)+IF(DataEntry_Standard!E43&lt;&gt;"",6-DataEntry_Standard!E43,0)+IF(DataEntry_Standard!F43&lt;&gt;"",6-DataEntry_Standard!F43,0)+IF(DataEntry_Standard!G43&lt;&gt;"",DataEntry_Standard!G43,0)+IF(DataEntry_Standard!H43&lt;&gt;"",6-DataEntry_Standard!H43,0)+IF(DataEntry_Standard!I43&lt;&gt;"",DataEntry_Standard!I43,0)+IF(DataEntry_Standard!J43&lt;&gt;"",DataEntry_Standard!J43,0)+IF(DataEntry_Standard!K43&lt;&gt;"",DataEntry_Standard!K43,0)+IF(DataEntry_Standard!L43&lt;&gt;"",DataEntry_Standard!L43,0)+IF(DataEntry_Standard!M43&lt;&gt;"",DataEntry_Standard!M43,0)</f>
        <v>0</v>
      </c>
      <c r="D41" s="24">
        <f>IF(DataEntry_Standard!N43&lt;&gt;"",DataEntry_Standard!N43,0)+IF(DataEntry_Standard!O43&lt;&gt;"",DataEntry_Standard!O43,0)+IF(DataEntry_Standard!P43&lt;&gt;"",DataEntry_Standard!P43,0)+IF(DataEntry_Standard!Q43&lt;&gt;"",6-DataEntry_Standard!Q43,0)+IF(DataEntry_Standard!R43&lt;&gt;"",6-DataEntry_Standard!R43,0)+IF(DataEntry_Standard!S43&lt;&gt;"",6-DataEntry_Standard!S43,0)+IF(DataEntry_Standard!T43&lt;&gt;"",DataEntry_Standard!T43,0)+IF(DataEntry_Standard!U43&lt;&gt;"",DataEntry_Standard!U43,0)+IF(DataEntry_Standard!V43&lt;&gt;"",DataEntry_Standard!V43,0)</f>
        <v>0</v>
      </c>
      <c r="E41" s="24">
        <f>IF(DataEntry_Standard!W43&lt;&gt;"",DataEntry_Standard!W43,0)+IF(DataEntry_Standard!X43&lt;&gt;"",6-DataEntry_Standard!X43,0)+IF(DataEntry_Standard!Y43&lt;&gt;"",6-DataEntry_Standard!Y43,0)+IF(DataEntry_Standard!Z43&lt;&gt;"",DataEntry_Standard!Z43,0)+IF(DataEntry_Standard!AA43&lt;&gt;"",6-DataEntry_Standard!AA43,0)+IF(DataEntry_Standard!AB43&lt;&gt;"",DataEntry_Standard!AB43,0)+IF(DataEntry_Standard!AC43&lt;&gt;"",DataEntry_Standard!AC43,0)+IF(DataEntry_Standard!AD43&lt;&gt;"",DataEntry_Standard!AD43,0)</f>
        <v>0</v>
      </c>
      <c r="F41" s="24">
        <f>IF(DataEntry_Standard!AE43&lt;&gt;"",DataEntry_Standard!AE43,0)+IF(DataEntry_Standard!AF43&lt;&gt;"",DataEntry_Standard!AF43,0)+IF(DataEntry_Standard!AG43&lt;&gt;"",6-DataEntry_Standard!AG43,0)+IF(DataEntry_Standard!AH43&lt;&gt;"",DataEntry_Standard!AH43,0)+IF(DataEntry_Standard!AI43&lt;&gt;"",6-DataEntry_Standard!AI43,0)</f>
        <v>0</v>
      </c>
      <c r="G41" s="24">
        <f>IF(DataEntry_Standard!AJ43&lt;&gt;"",DataEntry_Standard!AJ43,0)+IF(DataEntry_Standard!AK43&lt;&gt;"",6-DataEntry_Standard!AK43,0)+IF(DataEntry_Standard!AL43&lt;&gt;"",DataEntry_Standard!AL43,0)</f>
        <v>0</v>
      </c>
      <c r="H41" s="24">
        <f t="shared" si="2"/>
        <v>0</v>
      </c>
      <c r="I41" s="24">
        <f>IF(DataEntry_Standard!D43&gt;=4,1,0)+IF(DataEntry_Standard!G43&gt;=4,1,0)+IF(DataEntry_Standard!I43&gt;=4,1,0)+IF(DataEntry_Standard!J43&gt;=4,1,0)+IF(DataEntry_Standard!K43&gt;=4,1,0)+IF(DataEntry_Standard!L43&gt;=4,1,0)+IF(DataEntry_Standard!M43&gt;=4,1,0)+IF(DataEntry_Standard!N43&gt;=4,1,0)+IF(DataEntry_Standard!O43&gt;=4,1,0)+IF(DataEntry_Standard!P43&gt;=4,1,0)+IF(DataEntry_Standard!T43&gt;=4,1,0)+IF(DataEntry_Standard!U43&gt;=4,1,0)+IF(DataEntry_Standard!V43&gt;=4,1,0)+IF(DataEntry_Standard!W43&gt;=4,1,0)+IF(DataEntry_Standard!Z43&gt;=4,1,0)+IF(DataEntry_Standard!AB43&gt;=4,1,0)+IF(DataEntry_Standard!AC43&gt;=4,1,0)+IF(DataEntry_Standard!AD43&gt;=4,1,0)+IF(DataEntry_Standard!AE43&gt;=4,1,0)+IF(DataEntry_Standard!AF43&gt;=4,1,0)+IF(DataEntry_Standard!AH43&gt;=4,1,0)+IF(DataEntry_Standard!AJ43&gt;=4,1,0)+IF(DataEntry_Standard!AL43&gt;=4,1,0)+IF(DataEntry_Standard!AI43&lt;=2,1,0)+IF(DataEntry_Standard!E43&lt;=2,1,0)+IF(DataEntry_Standard!F43&lt;=2,1,0)+IF(DataEntry_Standard!AK43&lt;=2,1,0)+IF(DataEntry_Standard!H43&lt;=2,1,0)+IF(DataEntry_Standard!Q43&lt;=2,1,0)+IF(DataEntry_Standard!R43&lt;=2,1,0)+IF(DataEntry_Standard!S43&lt;=2,1,0)+IF(DataEntry_Standard!X43&lt;=2,1,0)+IF(DataEntry_Standard!Y43&lt;=2,1,0)+IF(DataEntry_Standard!AA43&lt;=2,1,0)+IF(DataEntry_Standard!AG43&lt;=2,1,0)</f>
        <v>12</v>
      </c>
      <c r="J41" s="24">
        <f>IF(DataEntry_SmartICT!D43&lt;&gt;"",DataEntry_SmartICT!D43,0)+IF(DataEntry_SmartICT!E43&lt;&gt;"",DataEntry_SmartICT!E43,0)+IF(DataEntry_SmartICT!F43&lt;&gt;"",6-DataEntry_SmartICT!F43,0)+IF(DataEntry_SmartICT!G43&lt;&gt;"",6-DataEntry_SmartICT!G43,0)+IF(DataEntry_SmartICT!H43&lt;&gt;"",DataEntry_SmartICT!H43,0)+IF(DataEntry_SmartICT!I43&lt;&gt;"",DataEntry_SmartICT!I43,0)+IF(DataEntry_SmartICT!J43&lt;&gt;"",6-DataEntry_SmartICT!J43,0)+IF(DataEntry_SmartICT!K43&lt;&gt;"",DataEntry_SmartICT!K43,0)+IF(DataEntry_SmartICT!L43&lt;&gt;"",6-DataEntry_SmartICT!L43,0)+IF(DataEntry_SmartICT!M43&lt;&gt;"",DataEntry_SmartICT!M43,0)+IF(DataEntry_SmartICT!N43&lt;&gt;"",6-DataEntry_SmartICT!N43,0)+IF(DataEntry_SmartICT!O43&lt;&gt;"",6-DataEntry_SmartICT!O43,0)+IF(DataEntry_SmartICT!P43&lt;&gt;"",6-DataEntry_SmartICT!P43,0)+IF(DataEntry_SmartICT!Q43&lt;&gt;"",6-DataEntry_SmartICT!Q43,0)+IF(DataEntry_SmartICT!R43&lt;&gt;"",6-DataEntry_SmartICT!R43,0)+IF(DataEntry_SmartICT!S43&lt;&gt;"",6-DataEntry_SmartICT!S43,0)+IF(DataEntry_SmartICT!T43&lt;&gt;"",6-DataEntry_SmartICT!T43,0)+IF(DataEntry_SmartICT!U43&lt;&gt;"",6-DataEntry_SmartICT!U43,0)+IF(DataEntry_SmartICT!V43&lt;&gt;"",DataEntry_SmartICT!V43,0)+IF(DataEntry_SmartICT!W43&lt;&gt;"",DataEntry_SmartICT!W43,0)+IF(DataEntry_SmartICT!X43&lt;&gt;"",DataEntry_SmartICT!X43,0)+IF(DataEntry_SmartICT!Y43&lt;&gt;"",6-DataEntry_SmartICT!Y43,0)+IF(DataEntry_SmartICT!Z43&lt;&gt;"",6-DataEntry_SmartICT!Z43,0)+IF(DataEntry_SmartICT!AA43&lt;&gt;"",DataEntry_SmartICT!AA43,0)+IF(DataEntry_SmartICT!AB43&lt;&gt;"",DataEntry_SmartICT!AB43,0)+IF(DataEntry_SmartICT!AC43&lt;&gt;"",6-DataEntry_SmartICT!AC43,0)+IF(DataEntry_SmartICT!AD43&lt;&gt;"",DataEntry_SmartICT!AD43,0)</f>
        <v>0</v>
      </c>
      <c r="K41" s="24">
        <f t="shared" si="3"/>
        <v>0</v>
      </c>
      <c r="L41" s="25" t="str">
        <f>IF(H41="","",IF(H41/35&lt;=Configurazione!C21,"Trascurabile",IF(H41/35&lt;=Configurazione!C22,"Moderato","Rilevante")))</f>
        <v>Trascurabile</v>
      </c>
      <c r="M41" s="25" t="str">
        <f>IF(J41=0,"N/A",IF(J41/27&lt;=Configurazione!C26,"Trascurabile",IF(J41/27&lt;=Configurazione!C27,"Moderato","Rilevante")))</f>
        <v>N/A</v>
      </c>
    </row>
    <row r="42" spans="1:13" x14ac:dyDescent="0.25">
      <c r="A42" s="18" t="str">
        <f>DataEntry_Standard!A44</f>
        <v>COMP-040</v>
      </c>
      <c r="B42" s="18">
        <f>DataEntry_Standard!C44</f>
        <v>0</v>
      </c>
      <c r="C42" s="24">
        <f>IF(DataEntry_Standard!D44&lt;&gt;"",DataEntry_Standard!D44,0)+IF(DataEntry_Standard!E44&lt;&gt;"",6-DataEntry_Standard!E44,0)+IF(DataEntry_Standard!F44&lt;&gt;"",6-DataEntry_Standard!F44,0)+IF(DataEntry_Standard!G44&lt;&gt;"",DataEntry_Standard!G44,0)+IF(DataEntry_Standard!H44&lt;&gt;"",6-DataEntry_Standard!H44,0)+IF(DataEntry_Standard!I44&lt;&gt;"",DataEntry_Standard!I44,0)+IF(DataEntry_Standard!J44&lt;&gt;"",DataEntry_Standard!J44,0)+IF(DataEntry_Standard!K44&lt;&gt;"",DataEntry_Standard!K44,0)+IF(DataEntry_Standard!L44&lt;&gt;"",DataEntry_Standard!L44,0)+IF(DataEntry_Standard!M44&lt;&gt;"",DataEntry_Standard!M44,0)</f>
        <v>0</v>
      </c>
      <c r="D42" s="24">
        <f>IF(DataEntry_Standard!N44&lt;&gt;"",DataEntry_Standard!N44,0)+IF(DataEntry_Standard!O44&lt;&gt;"",DataEntry_Standard!O44,0)+IF(DataEntry_Standard!P44&lt;&gt;"",DataEntry_Standard!P44,0)+IF(DataEntry_Standard!Q44&lt;&gt;"",6-DataEntry_Standard!Q44,0)+IF(DataEntry_Standard!R44&lt;&gt;"",6-DataEntry_Standard!R44,0)+IF(DataEntry_Standard!S44&lt;&gt;"",6-DataEntry_Standard!S44,0)+IF(DataEntry_Standard!T44&lt;&gt;"",DataEntry_Standard!T44,0)+IF(DataEntry_Standard!U44&lt;&gt;"",DataEntry_Standard!U44,0)+IF(DataEntry_Standard!V44&lt;&gt;"",DataEntry_Standard!V44,0)</f>
        <v>0</v>
      </c>
      <c r="E42" s="24">
        <f>IF(DataEntry_Standard!W44&lt;&gt;"",DataEntry_Standard!W44,0)+IF(DataEntry_Standard!X44&lt;&gt;"",6-DataEntry_Standard!X44,0)+IF(DataEntry_Standard!Y44&lt;&gt;"",6-DataEntry_Standard!Y44,0)+IF(DataEntry_Standard!Z44&lt;&gt;"",DataEntry_Standard!Z44,0)+IF(DataEntry_Standard!AA44&lt;&gt;"",6-DataEntry_Standard!AA44,0)+IF(DataEntry_Standard!AB44&lt;&gt;"",DataEntry_Standard!AB44,0)+IF(DataEntry_Standard!AC44&lt;&gt;"",DataEntry_Standard!AC44,0)+IF(DataEntry_Standard!AD44&lt;&gt;"",DataEntry_Standard!AD44,0)</f>
        <v>0</v>
      </c>
      <c r="F42" s="24">
        <f>IF(DataEntry_Standard!AE44&lt;&gt;"",DataEntry_Standard!AE44,0)+IF(DataEntry_Standard!AF44&lt;&gt;"",DataEntry_Standard!AF44,0)+IF(DataEntry_Standard!AG44&lt;&gt;"",6-DataEntry_Standard!AG44,0)+IF(DataEntry_Standard!AH44&lt;&gt;"",DataEntry_Standard!AH44,0)+IF(DataEntry_Standard!AI44&lt;&gt;"",6-DataEntry_Standard!AI44,0)</f>
        <v>0</v>
      </c>
      <c r="G42" s="24">
        <f>IF(DataEntry_Standard!AJ44&lt;&gt;"",DataEntry_Standard!AJ44,0)+IF(DataEntry_Standard!AK44&lt;&gt;"",6-DataEntry_Standard!AK44,0)+IF(DataEntry_Standard!AL44&lt;&gt;"",DataEntry_Standard!AL44,0)</f>
        <v>0</v>
      </c>
      <c r="H42" s="24">
        <f t="shared" si="2"/>
        <v>0</v>
      </c>
      <c r="I42" s="24">
        <f>IF(DataEntry_Standard!D44&gt;=4,1,0)+IF(DataEntry_Standard!G44&gt;=4,1,0)+IF(DataEntry_Standard!I44&gt;=4,1,0)+IF(DataEntry_Standard!J44&gt;=4,1,0)+IF(DataEntry_Standard!K44&gt;=4,1,0)+IF(DataEntry_Standard!L44&gt;=4,1,0)+IF(DataEntry_Standard!M44&gt;=4,1,0)+IF(DataEntry_Standard!N44&gt;=4,1,0)+IF(DataEntry_Standard!O44&gt;=4,1,0)+IF(DataEntry_Standard!P44&gt;=4,1,0)+IF(DataEntry_Standard!T44&gt;=4,1,0)+IF(DataEntry_Standard!U44&gt;=4,1,0)+IF(DataEntry_Standard!V44&gt;=4,1,0)+IF(DataEntry_Standard!W44&gt;=4,1,0)+IF(DataEntry_Standard!Z44&gt;=4,1,0)+IF(DataEntry_Standard!AB44&gt;=4,1,0)+IF(DataEntry_Standard!AC44&gt;=4,1,0)+IF(DataEntry_Standard!AD44&gt;=4,1,0)+IF(DataEntry_Standard!AE44&gt;=4,1,0)+IF(DataEntry_Standard!AF44&gt;=4,1,0)+IF(DataEntry_Standard!AH44&gt;=4,1,0)+IF(DataEntry_Standard!AJ44&gt;=4,1,0)+IF(DataEntry_Standard!AL44&gt;=4,1,0)+IF(DataEntry_Standard!AI44&lt;=2,1,0)+IF(DataEntry_Standard!E44&lt;=2,1,0)+IF(DataEntry_Standard!F44&lt;=2,1,0)+IF(DataEntry_Standard!AK44&lt;=2,1,0)+IF(DataEntry_Standard!H44&lt;=2,1,0)+IF(DataEntry_Standard!Q44&lt;=2,1,0)+IF(DataEntry_Standard!R44&lt;=2,1,0)+IF(DataEntry_Standard!S44&lt;=2,1,0)+IF(DataEntry_Standard!X44&lt;=2,1,0)+IF(DataEntry_Standard!Y44&lt;=2,1,0)+IF(DataEntry_Standard!AA44&lt;=2,1,0)+IF(DataEntry_Standard!AG44&lt;=2,1,0)</f>
        <v>12</v>
      </c>
      <c r="J42" s="24">
        <f>IF(DataEntry_SmartICT!D44&lt;&gt;"",DataEntry_SmartICT!D44,0)+IF(DataEntry_SmartICT!E44&lt;&gt;"",DataEntry_SmartICT!E44,0)+IF(DataEntry_SmartICT!F44&lt;&gt;"",6-DataEntry_SmartICT!F44,0)+IF(DataEntry_SmartICT!G44&lt;&gt;"",6-DataEntry_SmartICT!G44,0)+IF(DataEntry_SmartICT!H44&lt;&gt;"",DataEntry_SmartICT!H44,0)+IF(DataEntry_SmartICT!I44&lt;&gt;"",DataEntry_SmartICT!I44,0)+IF(DataEntry_SmartICT!J44&lt;&gt;"",6-DataEntry_SmartICT!J44,0)+IF(DataEntry_SmartICT!K44&lt;&gt;"",DataEntry_SmartICT!K44,0)+IF(DataEntry_SmartICT!L44&lt;&gt;"",6-DataEntry_SmartICT!L44,0)+IF(DataEntry_SmartICT!M44&lt;&gt;"",DataEntry_SmartICT!M44,0)+IF(DataEntry_SmartICT!N44&lt;&gt;"",6-DataEntry_SmartICT!N44,0)+IF(DataEntry_SmartICT!O44&lt;&gt;"",6-DataEntry_SmartICT!O44,0)+IF(DataEntry_SmartICT!P44&lt;&gt;"",6-DataEntry_SmartICT!P44,0)+IF(DataEntry_SmartICT!Q44&lt;&gt;"",6-DataEntry_SmartICT!Q44,0)+IF(DataEntry_SmartICT!R44&lt;&gt;"",6-DataEntry_SmartICT!R44,0)+IF(DataEntry_SmartICT!S44&lt;&gt;"",6-DataEntry_SmartICT!S44,0)+IF(DataEntry_SmartICT!T44&lt;&gt;"",6-DataEntry_SmartICT!T44,0)+IF(DataEntry_SmartICT!U44&lt;&gt;"",6-DataEntry_SmartICT!U44,0)+IF(DataEntry_SmartICT!V44&lt;&gt;"",DataEntry_SmartICT!V44,0)+IF(DataEntry_SmartICT!W44&lt;&gt;"",DataEntry_SmartICT!W44,0)+IF(DataEntry_SmartICT!X44&lt;&gt;"",DataEntry_SmartICT!X44,0)+IF(DataEntry_SmartICT!Y44&lt;&gt;"",6-DataEntry_SmartICT!Y44,0)+IF(DataEntry_SmartICT!Z44&lt;&gt;"",6-DataEntry_SmartICT!Z44,0)+IF(DataEntry_SmartICT!AA44&lt;&gt;"",DataEntry_SmartICT!AA44,0)+IF(DataEntry_SmartICT!AB44&lt;&gt;"",DataEntry_SmartICT!AB44,0)+IF(DataEntry_SmartICT!AC44&lt;&gt;"",6-DataEntry_SmartICT!AC44,0)+IF(DataEntry_SmartICT!AD44&lt;&gt;"",DataEntry_SmartICT!AD44,0)</f>
        <v>0</v>
      </c>
      <c r="K42" s="24">
        <f t="shared" si="3"/>
        <v>0</v>
      </c>
      <c r="L42" s="25" t="str">
        <f>IF(H42="","",IF(H42/35&lt;=Configurazione!C21,"Trascurabile",IF(H42/35&lt;=Configurazione!C22,"Moderato","Rilevante")))</f>
        <v>Trascurabile</v>
      </c>
      <c r="M42" s="25" t="str">
        <f>IF(J42=0,"N/A",IF(J42/27&lt;=Configurazione!C26,"Trascurabile",IF(J42/27&lt;=Configurazione!C27,"Moderato","Rilevante")))</f>
        <v>N/A</v>
      </c>
    </row>
    <row r="43" spans="1:13" x14ac:dyDescent="0.25">
      <c r="A43" s="18" t="str">
        <f>DataEntry_Standard!A45</f>
        <v>COMP-041</v>
      </c>
      <c r="B43" s="18">
        <f>DataEntry_Standard!C45</f>
        <v>0</v>
      </c>
      <c r="C43" s="24">
        <f>IF(DataEntry_Standard!D45&lt;&gt;"",DataEntry_Standard!D45,0)+IF(DataEntry_Standard!E45&lt;&gt;"",6-DataEntry_Standard!E45,0)+IF(DataEntry_Standard!F45&lt;&gt;"",6-DataEntry_Standard!F45,0)+IF(DataEntry_Standard!G45&lt;&gt;"",DataEntry_Standard!G45,0)+IF(DataEntry_Standard!H45&lt;&gt;"",6-DataEntry_Standard!H45,0)+IF(DataEntry_Standard!I45&lt;&gt;"",DataEntry_Standard!I45,0)+IF(DataEntry_Standard!J45&lt;&gt;"",DataEntry_Standard!J45,0)+IF(DataEntry_Standard!K45&lt;&gt;"",DataEntry_Standard!K45,0)+IF(DataEntry_Standard!L45&lt;&gt;"",DataEntry_Standard!L45,0)+IF(DataEntry_Standard!M45&lt;&gt;"",DataEntry_Standard!M45,0)</f>
        <v>0</v>
      </c>
      <c r="D43" s="24">
        <f>IF(DataEntry_Standard!N45&lt;&gt;"",DataEntry_Standard!N45,0)+IF(DataEntry_Standard!O45&lt;&gt;"",DataEntry_Standard!O45,0)+IF(DataEntry_Standard!P45&lt;&gt;"",DataEntry_Standard!P45,0)+IF(DataEntry_Standard!Q45&lt;&gt;"",6-DataEntry_Standard!Q45,0)+IF(DataEntry_Standard!R45&lt;&gt;"",6-DataEntry_Standard!R45,0)+IF(DataEntry_Standard!S45&lt;&gt;"",6-DataEntry_Standard!S45,0)+IF(DataEntry_Standard!T45&lt;&gt;"",DataEntry_Standard!T45,0)+IF(DataEntry_Standard!U45&lt;&gt;"",DataEntry_Standard!U45,0)+IF(DataEntry_Standard!V45&lt;&gt;"",DataEntry_Standard!V45,0)</f>
        <v>0</v>
      </c>
      <c r="E43" s="24">
        <f>IF(DataEntry_Standard!W45&lt;&gt;"",DataEntry_Standard!W45,0)+IF(DataEntry_Standard!X45&lt;&gt;"",6-DataEntry_Standard!X45,0)+IF(DataEntry_Standard!Y45&lt;&gt;"",6-DataEntry_Standard!Y45,0)+IF(DataEntry_Standard!Z45&lt;&gt;"",DataEntry_Standard!Z45,0)+IF(DataEntry_Standard!AA45&lt;&gt;"",6-DataEntry_Standard!AA45,0)+IF(DataEntry_Standard!AB45&lt;&gt;"",DataEntry_Standard!AB45,0)+IF(DataEntry_Standard!AC45&lt;&gt;"",DataEntry_Standard!AC45,0)+IF(DataEntry_Standard!AD45&lt;&gt;"",DataEntry_Standard!AD45,0)</f>
        <v>0</v>
      </c>
      <c r="F43" s="24">
        <f>IF(DataEntry_Standard!AE45&lt;&gt;"",DataEntry_Standard!AE45,0)+IF(DataEntry_Standard!AF45&lt;&gt;"",DataEntry_Standard!AF45,0)+IF(DataEntry_Standard!AG45&lt;&gt;"",6-DataEntry_Standard!AG45,0)+IF(DataEntry_Standard!AH45&lt;&gt;"",DataEntry_Standard!AH45,0)+IF(DataEntry_Standard!AI45&lt;&gt;"",6-DataEntry_Standard!AI45,0)</f>
        <v>0</v>
      </c>
      <c r="G43" s="24">
        <f>IF(DataEntry_Standard!AJ45&lt;&gt;"",DataEntry_Standard!AJ45,0)+IF(DataEntry_Standard!AK45&lt;&gt;"",6-DataEntry_Standard!AK45,0)+IF(DataEntry_Standard!AL45&lt;&gt;"",DataEntry_Standard!AL45,0)</f>
        <v>0</v>
      </c>
      <c r="H43" s="24">
        <f t="shared" si="2"/>
        <v>0</v>
      </c>
      <c r="I43" s="24">
        <f>IF(DataEntry_Standard!D45&gt;=4,1,0)+IF(DataEntry_Standard!G45&gt;=4,1,0)+IF(DataEntry_Standard!I45&gt;=4,1,0)+IF(DataEntry_Standard!J45&gt;=4,1,0)+IF(DataEntry_Standard!K45&gt;=4,1,0)+IF(DataEntry_Standard!L45&gt;=4,1,0)+IF(DataEntry_Standard!M45&gt;=4,1,0)+IF(DataEntry_Standard!N45&gt;=4,1,0)+IF(DataEntry_Standard!O45&gt;=4,1,0)+IF(DataEntry_Standard!P45&gt;=4,1,0)+IF(DataEntry_Standard!T45&gt;=4,1,0)+IF(DataEntry_Standard!U45&gt;=4,1,0)+IF(DataEntry_Standard!V45&gt;=4,1,0)+IF(DataEntry_Standard!W45&gt;=4,1,0)+IF(DataEntry_Standard!Z45&gt;=4,1,0)+IF(DataEntry_Standard!AB45&gt;=4,1,0)+IF(DataEntry_Standard!AC45&gt;=4,1,0)+IF(DataEntry_Standard!AD45&gt;=4,1,0)+IF(DataEntry_Standard!AE45&gt;=4,1,0)+IF(DataEntry_Standard!AF45&gt;=4,1,0)+IF(DataEntry_Standard!AH45&gt;=4,1,0)+IF(DataEntry_Standard!AJ45&gt;=4,1,0)+IF(DataEntry_Standard!AL45&gt;=4,1,0)+IF(DataEntry_Standard!AI45&lt;=2,1,0)+IF(DataEntry_Standard!E45&lt;=2,1,0)+IF(DataEntry_Standard!F45&lt;=2,1,0)+IF(DataEntry_Standard!AK45&lt;=2,1,0)+IF(DataEntry_Standard!H45&lt;=2,1,0)+IF(DataEntry_Standard!Q45&lt;=2,1,0)+IF(DataEntry_Standard!R45&lt;=2,1,0)+IF(DataEntry_Standard!S45&lt;=2,1,0)+IF(DataEntry_Standard!X45&lt;=2,1,0)+IF(DataEntry_Standard!Y45&lt;=2,1,0)+IF(DataEntry_Standard!AA45&lt;=2,1,0)+IF(DataEntry_Standard!AG45&lt;=2,1,0)</f>
        <v>12</v>
      </c>
      <c r="J43" s="24">
        <f>IF(DataEntry_SmartICT!D45&lt;&gt;"",DataEntry_SmartICT!D45,0)+IF(DataEntry_SmartICT!E45&lt;&gt;"",DataEntry_SmartICT!E45,0)+IF(DataEntry_SmartICT!F45&lt;&gt;"",6-DataEntry_SmartICT!F45,0)+IF(DataEntry_SmartICT!G45&lt;&gt;"",6-DataEntry_SmartICT!G45,0)+IF(DataEntry_SmartICT!H45&lt;&gt;"",DataEntry_SmartICT!H45,0)+IF(DataEntry_SmartICT!I45&lt;&gt;"",DataEntry_SmartICT!I45,0)+IF(DataEntry_SmartICT!J45&lt;&gt;"",6-DataEntry_SmartICT!J45,0)+IF(DataEntry_SmartICT!K45&lt;&gt;"",DataEntry_SmartICT!K45,0)+IF(DataEntry_SmartICT!L45&lt;&gt;"",6-DataEntry_SmartICT!L45,0)+IF(DataEntry_SmartICT!M45&lt;&gt;"",DataEntry_SmartICT!M45,0)+IF(DataEntry_SmartICT!N45&lt;&gt;"",6-DataEntry_SmartICT!N45,0)+IF(DataEntry_SmartICT!O45&lt;&gt;"",6-DataEntry_SmartICT!O45,0)+IF(DataEntry_SmartICT!P45&lt;&gt;"",6-DataEntry_SmartICT!P45,0)+IF(DataEntry_SmartICT!Q45&lt;&gt;"",6-DataEntry_SmartICT!Q45,0)+IF(DataEntry_SmartICT!R45&lt;&gt;"",6-DataEntry_SmartICT!R45,0)+IF(DataEntry_SmartICT!S45&lt;&gt;"",6-DataEntry_SmartICT!S45,0)+IF(DataEntry_SmartICT!T45&lt;&gt;"",6-DataEntry_SmartICT!T45,0)+IF(DataEntry_SmartICT!U45&lt;&gt;"",6-DataEntry_SmartICT!U45,0)+IF(DataEntry_SmartICT!V45&lt;&gt;"",DataEntry_SmartICT!V45,0)+IF(DataEntry_SmartICT!W45&lt;&gt;"",DataEntry_SmartICT!W45,0)+IF(DataEntry_SmartICT!X45&lt;&gt;"",DataEntry_SmartICT!X45,0)+IF(DataEntry_SmartICT!Y45&lt;&gt;"",6-DataEntry_SmartICT!Y45,0)+IF(DataEntry_SmartICT!Z45&lt;&gt;"",6-DataEntry_SmartICT!Z45,0)+IF(DataEntry_SmartICT!AA45&lt;&gt;"",DataEntry_SmartICT!AA45,0)+IF(DataEntry_SmartICT!AB45&lt;&gt;"",DataEntry_SmartICT!AB45,0)+IF(DataEntry_SmartICT!AC45&lt;&gt;"",6-DataEntry_SmartICT!AC45,0)+IF(DataEntry_SmartICT!AD45&lt;&gt;"",DataEntry_SmartICT!AD45,0)</f>
        <v>0</v>
      </c>
      <c r="K43" s="24">
        <f t="shared" si="3"/>
        <v>0</v>
      </c>
      <c r="L43" s="25" t="str">
        <f>IF(H43="","",IF(H43/35&lt;=Configurazione!C21,"Trascurabile",IF(H43/35&lt;=Configurazione!C22,"Moderato","Rilevante")))</f>
        <v>Trascurabile</v>
      </c>
      <c r="M43" s="25" t="str">
        <f>IF(J43=0,"N/A",IF(J43/27&lt;=Configurazione!C26,"Trascurabile",IF(J43/27&lt;=Configurazione!C27,"Moderato","Rilevante")))</f>
        <v>N/A</v>
      </c>
    </row>
    <row r="44" spans="1:13" x14ac:dyDescent="0.25">
      <c r="A44" s="18" t="str">
        <f>DataEntry_Standard!A46</f>
        <v>COMP-042</v>
      </c>
      <c r="B44" s="18">
        <f>DataEntry_Standard!C46</f>
        <v>0</v>
      </c>
      <c r="C44" s="24">
        <f>IF(DataEntry_Standard!D46&lt;&gt;"",DataEntry_Standard!D46,0)+IF(DataEntry_Standard!E46&lt;&gt;"",6-DataEntry_Standard!E46,0)+IF(DataEntry_Standard!F46&lt;&gt;"",6-DataEntry_Standard!F46,0)+IF(DataEntry_Standard!G46&lt;&gt;"",DataEntry_Standard!G46,0)+IF(DataEntry_Standard!H46&lt;&gt;"",6-DataEntry_Standard!H46,0)+IF(DataEntry_Standard!I46&lt;&gt;"",DataEntry_Standard!I46,0)+IF(DataEntry_Standard!J46&lt;&gt;"",DataEntry_Standard!J46,0)+IF(DataEntry_Standard!K46&lt;&gt;"",DataEntry_Standard!K46,0)+IF(DataEntry_Standard!L46&lt;&gt;"",DataEntry_Standard!L46,0)+IF(DataEntry_Standard!M46&lt;&gt;"",DataEntry_Standard!M46,0)</f>
        <v>0</v>
      </c>
      <c r="D44" s="24">
        <f>IF(DataEntry_Standard!N46&lt;&gt;"",DataEntry_Standard!N46,0)+IF(DataEntry_Standard!O46&lt;&gt;"",DataEntry_Standard!O46,0)+IF(DataEntry_Standard!P46&lt;&gt;"",DataEntry_Standard!P46,0)+IF(DataEntry_Standard!Q46&lt;&gt;"",6-DataEntry_Standard!Q46,0)+IF(DataEntry_Standard!R46&lt;&gt;"",6-DataEntry_Standard!R46,0)+IF(DataEntry_Standard!S46&lt;&gt;"",6-DataEntry_Standard!S46,0)+IF(DataEntry_Standard!T46&lt;&gt;"",DataEntry_Standard!T46,0)+IF(DataEntry_Standard!U46&lt;&gt;"",DataEntry_Standard!U46,0)+IF(DataEntry_Standard!V46&lt;&gt;"",DataEntry_Standard!V46,0)</f>
        <v>0</v>
      </c>
      <c r="E44" s="24">
        <f>IF(DataEntry_Standard!W46&lt;&gt;"",DataEntry_Standard!W46,0)+IF(DataEntry_Standard!X46&lt;&gt;"",6-DataEntry_Standard!X46,0)+IF(DataEntry_Standard!Y46&lt;&gt;"",6-DataEntry_Standard!Y46,0)+IF(DataEntry_Standard!Z46&lt;&gt;"",DataEntry_Standard!Z46,0)+IF(DataEntry_Standard!AA46&lt;&gt;"",6-DataEntry_Standard!AA46,0)+IF(DataEntry_Standard!AB46&lt;&gt;"",DataEntry_Standard!AB46,0)+IF(DataEntry_Standard!AC46&lt;&gt;"",DataEntry_Standard!AC46,0)+IF(DataEntry_Standard!AD46&lt;&gt;"",DataEntry_Standard!AD46,0)</f>
        <v>0</v>
      </c>
      <c r="F44" s="24">
        <f>IF(DataEntry_Standard!AE46&lt;&gt;"",DataEntry_Standard!AE46,0)+IF(DataEntry_Standard!AF46&lt;&gt;"",DataEntry_Standard!AF46,0)+IF(DataEntry_Standard!AG46&lt;&gt;"",6-DataEntry_Standard!AG46,0)+IF(DataEntry_Standard!AH46&lt;&gt;"",DataEntry_Standard!AH46,0)+IF(DataEntry_Standard!AI46&lt;&gt;"",6-DataEntry_Standard!AI46,0)</f>
        <v>0</v>
      </c>
      <c r="G44" s="24">
        <f>IF(DataEntry_Standard!AJ46&lt;&gt;"",DataEntry_Standard!AJ46,0)+IF(DataEntry_Standard!AK46&lt;&gt;"",6-DataEntry_Standard!AK46,0)+IF(DataEntry_Standard!AL46&lt;&gt;"",DataEntry_Standard!AL46,0)</f>
        <v>0</v>
      </c>
      <c r="H44" s="24">
        <f t="shared" si="2"/>
        <v>0</v>
      </c>
      <c r="I44" s="24">
        <f>IF(DataEntry_Standard!D46&gt;=4,1,0)+IF(DataEntry_Standard!G46&gt;=4,1,0)+IF(DataEntry_Standard!I46&gt;=4,1,0)+IF(DataEntry_Standard!J46&gt;=4,1,0)+IF(DataEntry_Standard!K46&gt;=4,1,0)+IF(DataEntry_Standard!L46&gt;=4,1,0)+IF(DataEntry_Standard!M46&gt;=4,1,0)+IF(DataEntry_Standard!N46&gt;=4,1,0)+IF(DataEntry_Standard!O46&gt;=4,1,0)+IF(DataEntry_Standard!P46&gt;=4,1,0)+IF(DataEntry_Standard!T46&gt;=4,1,0)+IF(DataEntry_Standard!U46&gt;=4,1,0)+IF(DataEntry_Standard!V46&gt;=4,1,0)+IF(DataEntry_Standard!W46&gt;=4,1,0)+IF(DataEntry_Standard!Z46&gt;=4,1,0)+IF(DataEntry_Standard!AB46&gt;=4,1,0)+IF(DataEntry_Standard!AC46&gt;=4,1,0)+IF(DataEntry_Standard!AD46&gt;=4,1,0)+IF(DataEntry_Standard!AE46&gt;=4,1,0)+IF(DataEntry_Standard!AF46&gt;=4,1,0)+IF(DataEntry_Standard!AH46&gt;=4,1,0)+IF(DataEntry_Standard!AJ46&gt;=4,1,0)+IF(DataEntry_Standard!AL46&gt;=4,1,0)+IF(DataEntry_Standard!AI46&lt;=2,1,0)+IF(DataEntry_Standard!E46&lt;=2,1,0)+IF(DataEntry_Standard!F46&lt;=2,1,0)+IF(DataEntry_Standard!AK46&lt;=2,1,0)+IF(DataEntry_Standard!H46&lt;=2,1,0)+IF(DataEntry_Standard!Q46&lt;=2,1,0)+IF(DataEntry_Standard!R46&lt;=2,1,0)+IF(DataEntry_Standard!S46&lt;=2,1,0)+IF(DataEntry_Standard!X46&lt;=2,1,0)+IF(DataEntry_Standard!Y46&lt;=2,1,0)+IF(DataEntry_Standard!AA46&lt;=2,1,0)+IF(DataEntry_Standard!AG46&lt;=2,1,0)</f>
        <v>12</v>
      </c>
      <c r="J44" s="24">
        <f>IF(DataEntry_SmartICT!D46&lt;&gt;"",DataEntry_SmartICT!D46,0)+IF(DataEntry_SmartICT!E46&lt;&gt;"",DataEntry_SmartICT!E46,0)+IF(DataEntry_SmartICT!F46&lt;&gt;"",6-DataEntry_SmartICT!F46,0)+IF(DataEntry_SmartICT!G46&lt;&gt;"",6-DataEntry_SmartICT!G46,0)+IF(DataEntry_SmartICT!H46&lt;&gt;"",DataEntry_SmartICT!H46,0)+IF(DataEntry_SmartICT!I46&lt;&gt;"",DataEntry_SmartICT!I46,0)+IF(DataEntry_SmartICT!J46&lt;&gt;"",6-DataEntry_SmartICT!J46,0)+IF(DataEntry_SmartICT!K46&lt;&gt;"",DataEntry_SmartICT!K46,0)+IF(DataEntry_SmartICT!L46&lt;&gt;"",6-DataEntry_SmartICT!L46,0)+IF(DataEntry_SmartICT!M46&lt;&gt;"",DataEntry_SmartICT!M46,0)+IF(DataEntry_SmartICT!N46&lt;&gt;"",6-DataEntry_SmartICT!N46,0)+IF(DataEntry_SmartICT!O46&lt;&gt;"",6-DataEntry_SmartICT!O46,0)+IF(DataEntry_SmartICT!P46&lt;&gt;"",6-DataEntry_SmartICT!P46,0)+IF(DataEntry_SmartICT!Q46&lt;&gt;"",6-DataEntry_SmartICT!Q46,0)+IF(DataEntry_SmartICT!R46&lt;&gt;"",6-DataEntry_SmartICT!R46,0)+IF(DataEntry_SmartICT!S46&lt;&gt;"",6-DataEntry_SmartICT!S46,0)+IF(DataEntry_SmartICT!T46&lt;&gt;"",6-DataEntry_SmartICT!T46,0)+IF(DataEntry_SmartICT!U46&lt;&gt;"",6-DataEntry_SmartICT!U46,0)+IF(DataEntry_SmartICT!V46&lt;&gt;"",DataEntry_SmartICT!V46,0)+IF(DataEntry_SmartICT!W46&lt;&gt;"",DataEntry_SmartICT!W46,0)+IF(DataEntry_SmartICT!X46&lt;&gt;"",DataEntry_SmartICT!X46,0)+IF(DataEntry_SmartICT!Y46&lt;&gt;"",6-DataEntry_SmartICT!Y46,0)+IF(DataEntry_SmartICT!Z46&lt;&gt;"",6-DataEntry_SmartICT!Z46,0)+IF(DataEntry_SmartICT!AA46&lt;&gt;"",DataEntry_SmartICT!AA46,0)+IF(DataEntry_SmartICT!AB46&lt;&gt;"",DataEntry_SmartICT!AB46,0)+IF(DataEntry_SmartICT!AC46&lt;&gt;"",6-DataEntry_SmartICT!AC46,0)+IF(DataEntry_SmartICT!AD46&lt;&gt;"",DataEntry_SmartICT!AD46,0)</f>
        <v>0</v>
      </c>
      <c r="K44" s="24">
        <f t="shared" si="3"/>
        <v>0</v>
      </c>
      <c r="L44" s="25" t="str">
        <f>IF(H44="","",IF(H44/35&lt;=Configurazione!C21,"Trascurabile",IF(H44/35&lt;=Configurazione!C22,"Moderato","Rilevante")))</f>
        <v>Trascurabile</v>
      </c>
      <c r="M44" s="25" t="str">
        <f>IF(J44=0,"N/A",IF(J44/27&lt;=Configurazione!C26,"Trascurabile",IF(J44/27&lt;=Configurazione!C27,"Moderato","Rilevante")))</f>
        <v>N/A</v>
      </c>
    </row>
    <row r="45" spans="1:13" x14ac:dyDescent="0.25">
      <c r="A45" s="18" t="str">
        <f>DataEntry_Standard!A47</f>
        <v>COMP-043</v>
      </c>
      <c r="B45" s="18">
        <f>DataEntry_Standard!C47</f>
        <v>0</v>
      </c>
      <c r="C45" s="24">
        <f>IF(DataEntry_Standard!D47&lt;&gt;"",DataEntry_Standard!D47,0)+IF(DataEntry_Standard!E47&lt;&gt;"",6-DataEntry_Standard!E47,0)+IF(DataEntry_Standard!F47&lt;&gt;"",6-DataEntry_Standard!F47,0)+IF(DataEntry_Standard!G47&lt;&gt;"",DataEntry_Standard!G47,0)+IF(DataEntry_Standard!H47&lt;&gt;"",6-DataEntry_Standard!H47,0)+IF(DataEntry_Standard!I47&lt;&gt;"",DataEntry_Standard!I47,0)+IF(DataEntry_Standard!J47&lt;&gt;"",DataEntry_Standard!J47,0)+IF(DataEntry_Standard!K47&lt;&gt;"",DataEntry_Standard!K47,0)+IF(DataEntry_Standard!L47&lt;&gt;"",DataEntry_Standard!L47,0)+IF(DataEntry_Standard!M47&lt;&gt;"",DataEntry_Standard!M47,0)</f>
        <v>0</v>
      </c>
      <c r="D45" s="24">
        <f>IF(DataEntry_Standard!N47&lt;&gt;"",DataEntry_Standard!N47,0)+IF(DataEntry_Standard!O47&lt;&gt;"",DataEntry_Standard!O47,0)+IF(DataEntry_Standard!P47&lt;&gt;"",DataEntry_Standard!P47,0)+IF(DataEntry_Standard!Q47&lt;&gt;"",6-DataEntry_Standard!Q47,0)+IF(DataEntry_Standard!R47&lt;&gt;"",6-DataEntry_Standard!R47,0)+IF(DataEntry_Standard!S47&lt;&gt;"",6-DataEntry_Standard!S47,0)+IF(DataEntry_Standard!T47&lt;&gt;"",DataEntry_Standard!T47,0)+IF(DataEntry_Standard!U47&lt;&gt;"",DataEntry_Standard!U47,0)+IF(DataEntry_Standard!V47&lt;&gt;"",DataEntry_Standard!V47,0)</f>
        <v>0</v>
      </c>
      <c r="E45" s="24">
        <f>IF(DataEntry_Standard!W47&lt;&gt;"",DataEntry_Standard!W47,0)+IF(DataEntry_Standard!X47&lt;&gt;"",6-DataEntry_Standard!X47,0)+IF(DataEntry_Standard!Y47&lt;&gt;"",6-DataEntry_Standard!Y47,0)+IF(DataEntry_Standard!Z47&lt;&gt;"",DataEntry_Standard!Z47,0)+IF(DataEntry_Standard!AA47&lt;&gt;"",6-DataEntry_Standard!AA47,0)+IF(DataEntry_Standard!AB47&lt;&gt;"",DataEntry_Standard!AB47,0)+IF(DataEntry_Standard!AC47&lt;&gt;"",DataEntry_Standard!AC47,0)+IF(DataEntry_Standard!AD47&lt;&gt;"",DataEntry_Standard!AD47,0)</f>
        <v>0</v>
      </c>
      <c r="F45" s="24">
        <f>IF(DataEntry_Standard!AE47&lt;&gt;"",DataEntry_Standard!AE47,0)+IF(DataEntry_Standard!AF47&lt;&gt;"",DataEntry_Standard!AF47,0)+IF(DataEntry_Standard!AG47&lt;&gt;"",6-DataEntry_Standard!AG47,0)+IF(DataEntry_Standard!AH47&lt;&gt;"",DataEntry_Standard!AH47,0)+IF(DataEntry_Standard!AI47&lt;&gt;"",6-DataEntry_Standard!AI47,0)</f>
        <v>0</v>
      </c>
      <c r="G45" s="24">
        <f>IF(DataEntry_Standard!AJ47&lt;&gt;"",DataEntry_Standard!AJ47,0)+IF(DataEntry_Standard!AK47&lt;&gt;"",6-DataEntry_Standard!AK47,0)+IF(DataEntry_Standard!AL47&lt;&gt;"",DataEntry_Standard!AL47,0)</f>
        <v>0</v>
      </c>
      <c r="H45" s="24">
        <f t="shared" si="2"/>
        <v>0</v>
      </c>
      <c r="I45" s="24">
        <f>IF(DataEntry_Standard!D47&gt;=4,1,0)+IF(DataEntry_Standard!G47&gt;=4,1,0)+IF(DataEntry_Standard!I47&gt;=4,1,0)+IF(DataEntry_Standard!J47&gt;=4,1,0)+IF(DataEntry_Standard!K47&gt;=4,1,0)+IF(DataEntry_Standard!L47&gt;=4,1,0)+IF(DataEntry_Standard!M47&gt;=4,1,0)+IF(DataEntry_Standard!N47&gt;=4,1,0)+IF(DataEntry_Standard!O47&gt;=4,1,0)+IF(DataEntry_Standard!P47&gt;=4,1,0)+IF(DataEntry_Standard!T47&gt;=4,1,0)+IF(DataEntry_Standard!U47&gt;=4,1,0)+IF(DataEntry_Standard!V47&gt;=4,1,0)+IF(DataEntry_Standard!W47&gt;=4,1,0)+IF(DataEntry_Standard!Z47&gt;=4,1,0)+IF(DataEntry_Standard!AB47&gt;=4,1,0)+IF(DataEntry_Standard!AC47&gt;=4,1,0)+IF(DataEntry_Standard!AD47&gt;=4,1,0)+IF(DataEntry_Standard!AE47&gt;=4,1,0)+IF(DataEntry_Standard!AF47&gt;=4,1,0)+IF(DataEntry_Standard!AH47&gt;=4,1,0)+IF(DataEntry_Standard!AJ47&gt;=4,1,0)+IF(DataEntry_Standard!AL47&gt;=4,1,0)+IF(DataEntry_Standard!AI47&lt;=2,1,0)+IF(DataEntry_Standard!E47&lt;=2,1,0)+IF(DataEntry_Standard!F47&lt;=2,1,0)+IF(DataEntry_Standard!AK47&lt;=2,1,0)+IF(DataEntry_Standard!H47&lt;=2,1,0)+IF(DataEntry_Standard!Q47&lt;=2,1,0)+IF(DataEntry_Standard!R47&lt;=2,1,0)+IF(DataEntry_Standard!S47&lt;=2,1,0)+IF(DataEntry_Standard!X47&lt;=2,1,0)+IF(DataEntry_Standard!Y47&lt;=2,1,0)+IF(DataEntry_Standard!AA47&lt;=2,1,0)+IF(DataEntry_Standard!AG47&lt;=2,1,0)</f>
        <v>12</v>
      </c>
      <c r="J45" s="24">
        <f>IF(DataEntry_SmartICT!D47&lt;&gt;"",DataEntry_SmartICT!D47,0)+IF(DataEntry_SmartICT!E47&lt;&gt;"",DataEntry_SmartICT!E47,0)+IF(DataEntry_SmartICT!F47&lt;&gt;"",6-DataEntry_SmartICT!F47,0)+IF(DataEntry_SmartICT!G47&lt;&gt;"",6-DataEntry_SmartICT!G47,0)+IF(DataEntry_SmartICT!H47&lt;&gt;"",DataEntry_SmartICT!H47,0)+IF(DataEntry_SmartICT!I47&lt;&gt;"",DataEntry_SmartICT!I47,0)+IF(DataEntry_SmartICT!J47&lt;&gt;"",6-DataEntry_SmartICT!J47,0)+IF(DataEntry_SmartICT!K47&lt;&gt;"",DataEntry_SmartICT!K47,0)+IF(DataEntry_SmartICT!L47&lt;&gt;"",6-DataEntry_SmartICT!L47,0)+IF(DataEntry_SmartICT!M47&lt;&gt;"",DataEntry_SmartICT!M47,0)+IF(DataEntry_SmartICT!N47&lt;&gt;"",6-DataEntry_SmartICT!N47,0)+IF(DataEntry_SmartICT!O47&lt;&gt;"",6-DataEntry_SmartICT!O47,0)+IF(DataEntry_SmartICT!P47&lt;&gt;"",6-DataEntry_SmartICT!P47,0)+IF(DataEntry_SmartICT!Q47&lt;&gt;"",6-DataEntry_SmartICT!Q47,0)+IF(DataEntry_SmartICT!R47&lt;&gt;"",6-DataEntry_SmartICT!R47,0)+IF(DataEntry_SmartICT!S47&lt;&gt;"",6-DataEntry_SmartICT!S47,0)+IF(DataEntry_SmartICT!T47&lt;&gt;"",6-DataEntry_SmartICT!T47,0)+IF(DataEntry_SmartICT!U47&lt;&gt;"",6-DataEntry_SmartICT!U47,0)+IF(DataEntry_SmartICT!V47&lt;&gt;"",DataEntry_SmartICT!V47,0)+IF(DataEntry_SmartICT!W47&lt;&gt;"",DataEntry_SmartICT!W47,0)+IF(DataEntry_SmartICT!X47&lt;&gt;"",DataEntry_SmartICT!X47,0)+IF(DataEntry_SmartICT!Y47&lt;&gt;"",6-DataEntry_SmartICT!Y47,0)+IF(DataEntry_SmartICT!Z47&lt;&gt;"",6-DataEntry_SmartICT!Z47,0)+IF(DataEntry_SmartICT!AA47&lt;&gt;"",DataEntry_SmartICT!AA47,0)+IF(DataEntry_SmartICT!AB47&lt;&gt;"",DataEntry_SmartICT!AB47,0)+IF(DataEntry_SmartICT!AC47&lt;&gt;"",6-DataEntry_SmartICT!AC47,0)+IF(DataEntry_SmartICT!AD47&lt;&gt;"",DataEntry_SmartICT!AD47,0)</f>
        <v>0</v>
      </c>
      <c r="K45" s="24">
        <f t="shared" si="3"/>
        <v>0</v>
      </c>
      <c r="L45" s="25" t="str">
        <f>IF(H45="","",IF(H45/35&lt;=Configurazione!C21,"Trascurabile",IF(H45/35&lt;=Configurazione!C22,"Moderato","Rilevante")))</f>
        <v>Trascurabile</v>
      </c>
      <c r="M45" s="25" t="str">
        <f>IF(J45=0,"N/A",IF(J45/27&lt;=Configurazione!C26,"Trascurabile",IF(J45/27&lt;=Configurazione!C27,"Moderato","Rilevante")))</f>
        <v>N/A</v>
      </c>
    </row>
    <row r="46" spans="1:13" x14ac:dyDescent="0.25">
      <c r="A46" s="18" t="str">
        <f>DataEntry_Standard!A48</f>
        <v>COMP-044</v>
      </c>
      <c r="B46" s="18">
        <f>DataEntry_Standard!C48</f>
        <v>0</v>
      </c>
      <c r="C46" s="24">
        <f>IF(DataEntry_Standard!D48&lt;&gt;"",DataEntry_Standard!D48,0)+IF(DataEntry_Standard!E48&lt;&gt;"",6-DataEntry_Standard!E48,0)+IF(DataEntry_Standard!F48&lt;&gt;"",6-DataEntry_Standard!F48,0)+IF(DataEntry_Standard!G48&lt;&gt;"",DataEntry_Standard!G48,0)+IF(DataEntry_Standard!H48&lt;&gt;"",6-DataEntry_Standard!H48,0)+IF(DataEntry_Standard!I48&lt;&gt;"",DataEntry_Standard!I48,0)+IF(DataEntry_Standard!J48&lt;&gt;"",DataEntry_Standard!J48,0)+IF(DataEntry_Standard!K48&lt;&gt;"",DataEntry_Standard!K48,0)+IF(DataEntry_Standard!L48&lt;&gt;"",DataEntry_Standard!L48,0)+IF(DataEntry_Standard!M48&lt;&gt;"",DataEntry_Standard!M48,0)</f>
        <v>0</v>
      </c>
      <c r="D46" s="24">
        <f>IF(DataEntry_Standard!N48&lt;&gt;"",DataEntry_Standard!N48,0)+IF(DataEntry_Standard!O48&lt;&gt;"",DataEntry_Standard!O48,0)+IF(DataEntry_Standard!P48&lt;&gt;"",DataEntry_Standard!P48,0)+IF(DataEntry_Standard!Q48&lt;&gt;"",6-DataEntry_Standard!Q48,0)+IF(DataEntry_Standard!R48&lt;&gt;"",6-DataEntry_Standard!R48,0)+IF(DataEntry_Standard!S48&lt;&gt;"",6-DataEntry_Standard!S48,0)+IF(DataEntry_Standard!T48&lt;&gt;"",DataEntry_Standard!T48,0)+IF(DataEntry_Standard!U48&lt;&gt;"",DataEntry_Standard!U48,0)+IF(DataEntry_Standard!V48&lt;&gt;"",DataEntry_Standard!V48,0)</f>
        <v>0</v>
      </c>
      <c r="E46" s="24">
        <f>IF(DataEntry_Standard!W48&lt;&gt;"",DataEntry_Standard!W48,0)+IF(DataEntry_Standard!X48&lt;&gt;"",6-DataEntry_Standard!X48,0)+IF(DataEntry_Standard!Y48&lt;&gt;"",6-DataEntry_Standard!Y48,0)+IF(DataEntry_Standard!Z48&lt;&gt;"",DataEntry_Standard!Z48,0)+IF(DataEntry_Standard!AA48&lt;&gt;"",6-DataEntry_Standard!AA48,0)+IF(DataEntry_Standard!AB48&lt;&gt;"",DataEntry_Standard!AB48,0)+IF(DataEntry_Standard!AC48&lt;&gt;"",DataEntry_Standard!AC48,0)+IF(DataEntry_Standard!AD48&lt;&gt;"",DataEntry_Standard!AD48,0)</f>
        <v>0</v>
      </c>
      <c r="F46" s="24">
        <f>IF(DataEntry_Standard!AE48&lt;&gt;"",DataEntry_Standard!AE48,0)+IF(DataEntry_Standard!AF48&lt;&gt;"",DataEntry_Standard!AF48,0)+IF(DataEntry_Standard!AG48&lt;&gt;"",6-DataEntry_Standard!AG48,0)+IF(DataEntry_Standard!AH48&lt;&gt;"",DataEntry_Standard!AH48,0)+IF(DataEntry_Standard!AI48&lt;&gt;"",6-DataEntry_Standard!AI48,0)</f>
        <v>0</v>
      </c>
      <c r="G46" s="24">
        <f>IF(DataEntry_Standard!AJ48&lt;&gt;"",DataEntry_Standard!AJ48,0)+IF(DataEntry_Standard!AK48&lt;&gt;"",6-DataEntry_Standard!AK48,0)+IF(DataEntry_Standard!AL48&lt;&gt;"",DataEntry_Standard!AL48,0)</f>
        <v>0</v>
      </c>
      <c r="H46" s="24">
        <f t="shared" si="2"/>
        <v>0</v>
      </c>
      <c r="I46" s="24">
        <f>IF(DataEntry_Standard!D48&gt;=4,1,0)+IF(DataEntry_Standard!G48&gt;=4,1,0)+IF(DataEntry_Standard!I48&gt;=4,1,0)+IF(DataEntry_Standard!J48&gt;=4,1,0)+IF(DataEntry_Standard!K48&gt;=4,1,0)+IF(DataEntry_Standard!L48&gt;=4,1,0)+IF(DataEntry_Standard!M48&gt;=4,1,0)+IF(DataEntry_Standard!N48&gt;=4,1,0)+IF(DataEntry_Standard!O48&gt;=4,1,0)+IF(DataEntry_Standard!P48&gt;=4,1,0)+IF(DataEntry_Standard!T48&gt;=4,1,0)+IF(DataEntry_Standard!U48&gt;=4,1,0)+IF(DataEntry_Standard!V48&gt;=4,1,0)+IF(DataEntry_Standard!W48&gt;=4,1,0)+IF(DataEntry_Standard!Z48&gt;=4,1,0)+IF(DataEntry_Standard!AB48&gt;=4,1,0)+IF(DataEntry_Standard!AC48&gt;=4,1,0)+IF(DataEntry_Standard!AD48&gt;=4,1,0)+IF(DataEntry_Standard!AE48&gt;=4,1,0)+IF(DataEntry_Standard!AF48&gt;=4,1,0)+IF(DataEntry_Standard!AH48&gt;=4,1,0)+IF(DataEntry_Standard!AJ48&gt;=4,1,0)+IF(DataEntry_Standard!AL48&gt;=4,1,0)+IF(DataEntry_Standard!AI48&lt;=2,1,0)+IF(DataEntry_Standard!E48&lt;=2,1,0)+IF(DataEntry_Standard!F48&lt;=2,1,0)+IF(DataEntry_Standard!AK48&lt;=2,1,0)+IF(DataEntry_Standard!H48&lt;=2,1,0)+IF(DataEntry_Standard!Q48&lt;=2,1,0)+IF(DataEntry_Standard!R48&lt;=2,1,0)+IF(DataEntry_Standard!S48&lt;=2,1,0)+IF(DataEntry_Standard!X48&lt;=2,1,0)+IF(DataEntry_Standard!Y48&lt;=2,1,0)+IF(DataEntry_Standard!AA48&lt;=2,1,0)+IF(DataEntry_Standard!AG48&lt;=2,1,0)</f>
        <v>12</v>
      </c>
      <c r="J46" s="24">
        <f>IF(DataEntry_SmartICT!D48&lt;&gt;"",DataEntry_SmartICT!D48,0)+IF(DataEntry_SmartICT!E48&lt;&gt;"",DataEntry_SmartICT!E48,0)+IF(DataEntry_SmartICT!F48&lt;&gt;"",6-DataEntry_SmartICT!F48,0)+IF(DataEntry_SmartICT!G48&lt;&gt;"",6-DataEntry_SmartICT!G48,0)+IF(DataEntry_SmartICT!H48&lt;&gt;"",DataEntry_SmartICT!H48,0)+IF(DataEntry_SmartICT!I48&lt;&gt;"",DataEntry_SmartICT!I48,0)+IF(DataEntry_SmartICT!J48&lt;&gt;"",6-DataEntry_SmartICT!J48,0)+IF(DataEntry_SmartICT!K48&lt;&gt;"",DataEntry_SmartICT!K48,0)+IF(DataEntry_SmartICT!L48&lt;&gt;"",6-DataEntry_SmartICT!L48,0)+IF(DataEntry_SmartICT!M48&lt;&gt;"",DataEntry_SmartICT!M48,0)+IF(DataEntry_SmartICT!N48&lt;&gt;"",6-DataEntry_SmartICT!N48,0)+IF(DataEntry_SmartICT!O48&lt;&gt;"",6-DataEntry_SmartICT!O48,0)+IF(DataEntry_SmartICT!P48&lt;&gt;"",6-DataEntry_SmartICT!P48,0)+IF(DataEntry_SmartICT!Q48&lt;&gt;"",6-DataEntry_SmartICT!Q48,0)+IF(DataEntry_SmartICT!R48&lt;&gt;"",6-DataEntry_SmartICT!R48,0)+IF(DataEntry_SmartICT!S48&lt;&gt;"",6-DataEntry_SmartICT!S48,0)+IF(DataEntry_SmartICT!T48&lt;&gt;"",6-DataEntry_SmartICT!T48,0)+IF(DataEntry_SmartICT!U48&lt;&gt;"",6-DataEntry_SmartICT!U48,0)+IF(DataEntry_SmartICT!V48&lt;&gt;"",DataEntry_SmartICT!V48,0)+IF(DataEntry_SmartICT!W48&lt;&gt;"",DataEntry_SmartICT!W48,0)+IF(DataEntry_SmartICT!X48&lt;&gt;"",DataEntry_SmartICT!X48,0)+IF(DataEntry_SmartICT!Y48&lt;&gt;"",6-DataEntry_SmartICT!Y48,0)+IF(DataEntry_SmartICT!Z48&lt;&gt;"",6-DataEntry_SmartICT!Z48,0)+IF(DataEntry_SmartICT!AA48&lt;&gt;"",DataEntry_SmartICT!AA48,0)+IF(DataEntry_SmartICT!AB48&lt;&gt;"",DataEntry_SmartICT!AB48,0)+IF(DataEntry_SmartICT!AC48&lt;&gt;"",6-DataEntry_SmartICT!AC48,0)+IF(DataEntry_SmartICT!AD48&lt;&gt;"",DataEntry_SmartICT!AD48,0)</f>
        <v>0</v>
      </c>
      <c r="K46" s="24">
        <f t="shared" si="3"/>
        <v>0</v>
      </c>
      <c r="L46" s="25" t="str">
        <f>IF(H46="","",IF(H46/35&lt;=Configurazione!C21,"Trascurabile",IF(H46/35&lt;=Configurazione!C22,"Moderato","Rilevante")))</f>
        <v>Trascurabile</v>
      </c>
      <c r="M46" s="25" t="str">
        <f>IF(J46=0,"N/A",IF(J46/27&lt;=Configurazione!C26,"Trascurabile",IF(J46/27&lt;=Configurazione!C27,"Moderato","Rilevante")))</f>
        <v>N/A</v>
      </c>
    </row>
    <row r="47" spans="1:13" x14ac:dyDescent="0.25">
      <c r="A47" s="18" t="str">
        <f>DataEntry_Standard!A49</f>
        <v>COMP-045</v>
      </c>
      <c r="B47" s="18">
        <f>DataEntry_Standard!C49</f>
        <v>0</v>
      </c>
      <c r="C47" s="24">
        <f>IF(DataEntry_Standard!D49&lt;&gt;"",DataEntry_Standard!D49,0)+IF(DataEntry_Standard!E49&lt;&gt;"",6-DataEntry_Standard!E49,0)+IF(DataEntry_Standard!F49&lt;&gt;"",6-DataEntry_Standard!F49,0)+IF(DataEntry_Standard!G49&lt;&gt;"",DataEntry_Standard!G49,0)+IF(DataEntry_Standard!H49&lt;&gt;"",6-DataEntry_Standard!H49,0)+IF(DataEntry_Standard!I49&lt;&gt;"",DataEntry_Standard!I49,0)+IF(DataEntry_Standard!J49&lt;&gt;"",DataEntry_Standard!J49,0)+IF(DataEntry_Standard!K49&lt;&gt;"",DataEntry_Standard!K49,0)+IF(DataEntry_Standard!L49&lt;&gt;"",DataEntry_Standard!L49,0)+IF(DataEntry_Standard!M49&lt;&gt;"",DataEntry_Standard!M49,0)</f>
        <v>0</v>
      </c>
      <c r="D47" s="24">
        <f>IF(DataEntry_Standard!N49&lt;&gt;"",DataEntry_Standard!N49,0)+IF(DataEntry_Standard!O49&lt;&gt;"",DataEntry_Standard!O49,0)+IF(DataEntry_Standard!P49&lt;&gt;"",DataEntry_Standard!P49,0)+IF(DataEntry_Standard!Q49&lt;&gt;"",6-DataEntry_Standard!Q49,0)+IF(DataEntry_Standard!R49&lt;&gt;"",6-DataEntry_Standard!R49,0)+IF(DataEntry_Standard!S49&lt;&gt;"",6-DataEntry_Standard!S49,0)+IF(DataEntry_Standard!T49&lt;&gt;"",DataEntry_Standard!T49,0)+IF(DataEntry_Standard!U49&lt;&gt;"",DataEntry_Standard!U49,0)+IF(DataEntry_Standard!V49&lt;&gt;"",DataEntry_Standard!V49,0)</f>
        <v>0</v>
      </c>
      <c r="E47" s="24">
        <f>IF(DataEntry_Standard!W49&lt;&gt;"",DataEntry_Standard!W49,0)+IF(DataEntry_Standard!X49&lt;&gt;"",6-DataEntry_Standard!X49,0)+IF(DataEntry_Standard!Y49&lt;&gt;"",6-DataEntry_Standard!Y49,0)+IF(DataEntry_Standard!Z49&lt;&gt;"",DataEntry_Standard!Z49,0)+IF(DataEntry_Standard!AA49&lt;&gt;"",6-DataEntry_Standard!AA49,0)+IF(DataEntry_Standard!AB49&lt;&gt;"",DataEntry_Standard!AB49,0)+IF(DataEntry_Standard!AC49&lt;&gt;"",DataEntry_Standard!AC49,0)+IF(DataEntry_Standard!AD49&lt;&gt;"",DataEntry_Standard!AD49,0)</f>
        <v>0</v>
      </c>
      <c r="F47" s="24">
        <f>IF(DataEntry_Standard!AE49&lt;&gt;"",DataEntry_Standard!AE49,0)+IF(DataEntry_Standard!AF49&lt;&gt;"",DataEntry_Standard!AF49,0)+IF(DataEntry_Standard!AG49&lt;&gt;"",6-DataEntry_Standard!AG49,0)+IF(DataEntry_Standard!AH49&lt;&gt;"",DataEntry_Standard!AH49,0)+IF(DataEntry_Standard!AI49&lt;&gt;"",6-DataEntry_Standard!AI49,0)</f>
        <v>0</v>
      </c>
      <c r="G47" s="24">
        <f>IF(DataEntry_Standard!AJ49&lt;&gt;"",DataEntry_Standard!AJ49,0)+IF(DataEntry_Standard!AK49&lt;&gt;"",6-DataEntry_Standard!AK49,0)+IF(DataEntry_Standard!AL49&lt;&gt;"",DataEntry_Standard!AL49,0)</f>
        <v>0</v>
      </c>
      <c r="H47" s="24">
        <f t="shared" si="2"/>
        <v>0</v>
      </c>
      <c r="I47" s="24">
        <f>IF(DataEntry_Standard!D49&gt;=4,1,0)+IF(DataEntry_Standard!G49&gt;=4,1,0)+IF(DataEntry_Standard!I49&gt;=4,1,0)+IF(DataEntry_Standard!J49&gt;=4,1,0)+IF(DataEntry_Standard!K49&gt;=4,1,0)+IF(DataEntry_Standard!L49&gt;=4,1,0)+IF(DataEntry_Standard!M49&gt;=4,1,0)+IF(DataEntry_Standard!N49&gt;=4,1,0)+IF(DataEntry_Standard!O49&gt;=4,1,0)+IF(DataEntry_Standard!P49&gt;=4,1,0)+IF(DataEntry_Standard!T49&gt;=4,1,0)+IF(DataEntry_Standard!U49&gt;=4,1,0)+IF(DataEntry_Standard!V49&gt;=4,1,0)+IF(DataEntry_Standard!W49&gt;=4,1,0)+IF(DataEntry_Standard!Z49&gt;=4,1,0)+IF(DataEntry_Standard!AB49&gt;=4,1,0)+IF(DataEntry_Standard!AC49&gt;=4,1,0)+IF(DataEntry_Standard!AD49&gt;=4,1,0)+IF(DataEntry_Standard!AE49&gt;=4,1,0)+IF(DataEntry_Standard!AF49&gt;=4,1,0)+IF(DataEntry_Standard!AH49&gt;=4,1,0)+IF(DataEntry_Standard!AJ49&gt;=4,1,0)+IF(DataEntry_Standard!AL49&gt;=4,1,0)+IF(DataEntry_Standard!AI49&lt;=2,1,0)+IF(DataEntry_Standard!E49&lt;=2,1,0)+IF(DataEntry_Standard!F49&lt;=2,1,0)+IF(DataEntry_Standard!AK49&lt;=2,1,0)+IF(DataEntry_Standard!H49&lt;=2,1,0)+IF(DataEntry_Standard!Q49&lt;=2,1,0)+IF(DataEntry_Standard!R49&lt;=2,1,0)+IF(DataEntry_Standard!S49&lt;=2,1,0)+IF(DataEntry_Standard!X49&lt;=2,1,0)+IF(DataEntry_Standard!Y49&lt;=2,1,0)+IF(DataEntry_Standard!AA49&lt;=2,1,0)+IF(DataEntry_Standard!AG49&lt;=2,1,0)</f>
        <v>12</v>
      </c>
      <c r="J47" s="24">
        <f>IF(DataEntry_SmartICT!D49&lt;&gt;"",DataEntry_SmartICT!D49,0)+IF(DataEntry_SmartICT!E49&lt;&gt;"",DataEntry_SmartICT!E49,0)+IF(DataEntry_SmartICT!F49&lt;&gt;"",6-DataEntry_SmartICT!F49,0)+IF(DataEntry_SmartICT!G49&lt;&gt;"",6-DataEntry_SmartICT!G49,0)+IF(DataEntry_SmartICT!H49&lt;&gt;"",DataEntry_SmartICT!H49,0)+IF(DataEntry_SmartICT!I49&lt;&gt;"",DataEntry_SmartICT!I49,0)+IF(DataEntry_SmartICT!J49&lt;&gt;"",6-DataEntry_SmartICT!J49,0)+IF(DataEntry_SmartICT!K49&lt;&gt;"",DataEntry_SmartICT!K49,0)+IF(DataEntry_SmartICT!L49&lt;&gt;"",6-DataEntry_SmartICT!L49,0)+IF(DataEntry_SmartICT!M49&lt;&gt;"",DataEntry_SmartICT!M49,0)+IF(DataEntry_SmartICT!N49&lt;&gt;"",6-DataEntry_SmartICT!N49,0)+IF(DataEntry_SmartICT!O49&lt;&gt;"",6-DataEntry_SmartICT!O49,0)+IF(DataEntry_SmartICT!P49&lt;&gt;"",6-DataEntry_SmartICT!P49,0)+IF(DataEntry_SmartICT!Q49&lt;&gt;"",6-DataEntry_SmartICT!Q49,0)+IF(DataEntry_SmartICT!R49&lt;&gt;"",6-DataEntry_SmartICT!R49,0)+IF(DataEntry_SmartICT!S49&lt;&gt;"",6-DataEntry_SmartICT!S49,0)+IF(DataEntry_SmartICT!T49&lt;&gt;"",6-DataEntry_SmartICT!T49,0)+IF(DataEntry_SmartICT!U49&lt;&gt;"",6-DataEntry_SmartICT!U49,0)+IF(DataEntry_SmartICT!V49&lt;&gt;"",DataEntry_SmartICT!V49,0)+IF(DataEntry_SmartICT!W49&lt;&gt;"",DataEntry_SmartICT!W49,0)+IF(DataEntry_SmartICT!X49&lt;&gt;"",DataEntry_SmartICT!X49,0)+IF(DataEntry_SmartICT!Y49&lt;&gt;"",6-DataEntry_SmartICT!Y49,0)+IF(DataEntry_SmartICT!Z49&lt;&gt;"",6-DataEntry_SmartICT!Z49,0)+IF(DataEntry_SmartICT!AA49&lt;&gt;"",DataEntry_SmartICT!AA49,0)+IF(DataEntry_SmartICT!AB49&lt;&gt;"",DataEntry_SmartICT!AB49,0)+IF(DataEntry_SmartICT!AC49&lt;&gt;"",6-DataEntry_SmartICT!AC49,0)+IF(DataEntry_SmartICT!AD49&lt;&gt;"",DataEntry_SmartICT!AD49,0)</f>
        <v>0</v>
      </c>
      <c r="K47" s="24">
        <f t="shared" si="3"/>
        <v>0</v>
      </c>
      <c r="L47" s="25" t="str">
        <f>IF(H47="","",IF(H47/35&lt;=Configurazione!C21,"Trascurabile",IF(H47/35&lt;=Configurazione!C22,"Moderato","Rilevante")))</f>
        <v>Trascurabile</v>
      </c>
      <c r="M47" s="25" t="str">
        <f>IF(J47=0,"N/A",IF(J47/27&lt;=Configurazione!C26,"Trascurabile",IF(J47/27&lt;=Configurazione!C27,"Moderato","Rilevante")))</f>
        <v>N/A</v>
      </c>
    </row>
    <row r="48" spans="1:13" x14ac:dyDescent="0.25">
      <c r="A48" s="18" t="str">
        <f>DataEntry_Standard!A50</f>
        <v>COMP-046</v>
      </c>
      <c r="B48" s="18">
        <f>DataEntry_Standard!C50</f>
        <v>0</v>
      </c>
      <c r="C48" s="24">
        <f>IF(DataEntry_Standard!D50&lt;&gt;"",DataEntry_Standard!D50,0)+IF(DataEntry_Standard!E50&lt;&gt;"",6-DataEntry_Standard!E50,0)+IF(DataEntry_Standard!F50&lt;&gt;"",6-DataEntry_Standard!F50,0)+IF(DataEntry_Standard!G50&lt;&gt;"",DataEntry_Standard!G50,0)+IF(DataEntry_Standard!H50&lt;&gt;"",6-DataEntry_Standard!H50,0)+IF(DataEntry_Standard!I50&lt;&gt;"",DataEntry_Standard!I50,0)+IF(DataEntry_Standard!J50&lt;&gt;"",DataEntry_Standard!J50,0)+IF(DataEntry_Standard!K50&lt;&gt;"",DataEntry_Standard!K50,0)+IF(DataEntry_Standard!L50&lt;&gt;"",DataEntry_Standard!L50,0)+IF(DataEntry_Standard!M50&lt;&gt;"",DataEntry_Standard!M50,0)</f>
        <v>0</v>
      </c>
      <c r="D48" s="24">
        <f>IF(DataEntry_Standard!N50&lt;&gt;"",DataEntry_Standard!N50,0)+IF(DataEntry_Standard!O50&lt;&gt;"",DataEntry_Standard!O50,0)+IF(DataEntry_Standard!P50&lt;&gt;"",DataEntry_Standard!P50,0)+IF(DataEntry_Standard!Q50&lt;&gt;"",6-DataEntry_Standard!Q50,0)+IF(DataEntry_Standard!R50&lt;&gt;"",6-DataEntry_Standard!R50,0)+IF(DataEntry_Standard!S50&lt;&gt;"",6-DataEntry_Standard!S50,0)+IF(DataEntry_Standard!T50&lt;&gt;"",DataEntry_Standard!T50,0)+IF(DataEntry_Standard!U50&lt;&gt;"",DataEntry_Standard!U50,0)+IF(DataEntry_Standard!V50&lt;&gt;"",DataEntry_Standard!V50,0)</f>
        <v>0</v>
      </c>
      <c r="E48" s="24">
        <f>IF(DataEntry_Standard!W50&lt;&gt;"",DataEntry_Standard!W50,0)+IF(DataEntry_Standard!X50&lt;&gt;"",6-DataEntry_Standard!X50,0)+IF(DataEntry_Standard!Y50&lt;&gt;"",6-DataEntry_Standard!Y50,0)+IF(DataEntry_Standard!Z50&lt;&gt;"",DataEntry_Standard!Z50,0)+IF(DataEntry_Standard!AA50&lt;&gt;"",6-DataEntry_Standard!AA50,0)+IF(DataEntry_Standard!AB50&lt;&gt;"",DataEntry_Standard!AB50,0)+IF(DataEntry_Standard!AC50&lt;&gt;"",DataEntry_Standard!AC50,0)+IF(DataEntry_Standard!AD50&lt;&gt;"",DataEntry_Standard!AD50,0)</f>
        <v>0</v>
      </c>
      <c r="F48" s="24">
        <f>IF(DataEntry_Standard!AE50&lt;&gt;"",DataEntry_Standard!AE50,0)+IF(DataEntry_Standard!AF50&lt;&gt;"",DataEntry_Standard!AF50,0)+IF(DataEntry_Standard!AG50&lt;&gt;"",6-DataEntry_Standard!AG50,0)+IF(DataEntry_Standard!AH50&lt;&gt;"",DataEntry_Standard!AH50,0)+IF(DataEntry_Standard!AI50&lt;&gt;"",6-DataEntry_Standard!AI50,0)</f>
        <v>0</v>
      </c>
      <c r="G48" s="24">
        <f>IF(DataEntry_Standard!AJ50&lt;&gt;"",DataEntry_Standard!AJ50,0)+IF(DataEntry_Standard!AK50&lt;&gt;"",6-DataEntry_Standard!AK50,0)+IF(DataEntry_Standard!AL50&lt;&gt;"",DataEntry_Standard!AL50,0)</f>
        <v>0</v>
      </c>
      <c r="H48" s="24">
        <f t="shared" si="2"/>
        <v>0</v>
      </c>
      <c r="I48" s="24">
        <f>IF(DataEntry_Standard!D50&gt;=4,1,0)+IF(DataEntry_Standard!G50&gt;=4,1,0)+IF(DataEntry_Standard!I50&gt;=4,1,0)+IF(DataEntry_Standard!J50&gt;=4,1,0)+IF(DataEntry_Standard!K50&gt;=4,1,0)+IF(DataEntry_Standard!L50&gt;=4,1,0)+IF(DataEntry_Standard!M50&gt;=4,1,0)+IF(DataEntry_Standard!N50&gt;=4,1,0)+IF(DataEntry_Standard!O50&gt;=4,1,0)+IF(DataEntry_Standard!P50&gt;=4,1,0)+IF(DataEntry_Standard!T50&gt;=4,1,0)+IF(DataEntry_Standard!U50&gt;=4,1,0)+IF(DataEntry_Standard!V50&gt;=4,1,0)+IF(DataEntry_Standard!W50&gt;=4,1,0)+IF(DataEntry_Standard!Z50&gt;=4,1,0)+IF(DataEntry_Standard!AB50&gt;=4,1,0)+IF(DataEntry_Standard!AC50&gt;=4,1,0)+IF(DataEntry_Standard!AD50&gt;=4,1,0)+IF(DataEntry_Standard!AE50&gt;=4,1,0)+IF(DataEntry_Standard!AF50&gt;=4,1,0)+IF(DataEntry_Standard!AH50&gt;=4,1,0)+IF(DataEntry_Standard!AJ50&gt;=4,1,0)+IF(DataEntry_Standard!AL50&gt;=4,1,0)+IF(DataEntry_Standard!AI50&lt;=2,1,0)+IF(DataEntry_Standard!E50&lt;=2,1,0)+IF(DataEntry_Standard!F50&lt;=2,1,0)+IF(DataEntry_Standard!AK50&lt;=2,1,0)+IF(DataEntry_Standard!H50&lt;=2,1,0)+IF(DataEntry_Standard!Q50&lt;=2,1,0)+IF(DataEntry_Standard!R50&lt;=2,1,0)+IF(DataEntry_Standard!S50&lt;=2,1,0)+IF(DataEntry_Standard!X50&lt;=2,1,0)+IF(DataEntry_Standard!Y50&lt;=2,1,0)+IF(DataEntry_Standard!AA50&lt;=2,1,0)+IF(DataEntry_Standard!AG50&lt;=2,1,0)</f>
        <v>12</v>
      </c>
      <c r="J48" s="24">
        <f>IF(DataEntry_SmartICT!D50&lt;&gt;"",DataEntry_SmartICT!D50,0)+IF(DataEntry_SmartICT!E50&lt;&gt;"",DataEntry_SmartICT!E50,0)+IF(DataEntry_SmartICT!F50&lt;&gt;"",6-DataEntry_SmartICT!F50,0)+IF(DataEntry_SmartICT!G50&lt;&gt;"",6-DataEntry_SmartICT!G50,0)+IF(DataEntry_SmartICT!H50&lt;&gt;"",DataEntry_SmartICT!H50,0)+IF(DataEntry_SmartICT!I50&lt;&gt;"",DataEntry_SmartICT!I50,0)+IF(DataEntry_SmartICT!J50&lt;&gt;"",6-DataEntry_SmartICT!J50,0)+IF(DataEntry_SmartICT!K50&lt;&gt;"",DataEntry_SmartICT!K50,0)+IF(DataEntry_SmartICT!L50&lt;&gt;"",6-DataEntry_SmartICT!L50,0)+IF(DataEntry_SmartICT!M50&lt;&gt;"",DataEntry_SmartICT!M50,0)+IF(DataEntry_SmartICT!N50&lt;&gt;"",6-DataEntry_SmartICT!N50,0)+IF(DataEntry_SmartICT!O50&lt;&gt;"",6-DataEntry_SmartICT!O50,0)+IF(DataEntry_SmartICT!P50&lt;&gt;"",6-DataEntry_SmartICT!P50,0)+IF(DataEntry_SmartICT!Q50&lt;&gt;"",6-DataEntry_SmartICT!Q50,0)+IF(DataEntry_SmartICT!R50&lt;&gt;"",6-DataEntry_SmartICT!R50,0)+IF(DataEntry_SmartICT!S50&lt;&gt;"",6-DataEntry_SmartICT!S50,0)+IF(DataEntry_SmartICT!T50&lt;&gt;"",6-DataEntry_SmartICT!T50,0)+IF(DataEntry_SmartICT!U50&lt;&gt;"",6-DataEntry_SmartICT!U50,0)+IF(DataEntry_SmartICT!V50&lt;&gt;"",DataEntry_SmartICT!V50,0)+IF(DataEntry_SmartICT!W50&lt;&gt;"",DataEntry_SmartICT!W50,0)+IF(DataEntry_SmartICT!X50&lt;&gt;"",DataEntry_SmartICT!X50,0)+IF(DataEntry_SmartICT!Y50&lt;&gt;"",6-DataEntry_SmartICT!Y50,0)+IF(DataEntry_SmartICT!Z50&lt;&gt;"",6-DataEntry_SmartICT!Z50,0)+IF(DataEntry_SmartICT!AA50&lt;&gt;"",DataEntry_SmartICT!AA50,0)+IF(DataEntry_SmartICT!AB50&lt;&gt;"",DataEntry_SmartICT!AB50,0)+IF(DataEntry_SmartICT!AC50&lt;&gt;"",6-DataEntry_SmartICT!AC50,0)+IF(DataEntry_SmartICT!AD50&lt;&gt;"",DataEntry_SmartICT!AD50,0)</f>
        <v>0</v>
      </c>
      <c r="K48" s="24">
        <f t="shared" si="3"/>
        <v>0</v>
      </c>
      <c r="L48" s="25" t="str">
        <f>IF(H48="","",IF(H48/35&lt;=Configurazione!C21,"Trascurabile",IF(H48/35&lt;=Configurazione!C22,"Moderato","Rilevante")))</f>
        <v>Trascurabile</v>
      </c>
      <c r="M48" s="25" t="str">
        <f>IF(J48=0,"N/A",IF(J48/27&lt;=Configurazione!C26,"Trascurabile",IF(J48/27&lt;=Configurazione!C27,"Moderato","Rilevante")))</f>
        <v>N/A</v>
      </c>
    </row>
    <row r="49" spans="1:13" x14ac:dyDescent="0.25">
      <c r="A49" s="18" t="str">
        <f>DataEntry_Standard!A51</f>
        <v>COMP-047</v>
      </c>
      <c r="B49" s="18">
        <f>DataEntry_Standard!C51</f>
        <v>0</v>
      </c>
      <c r="C49" s="24">
        <f>IF(DataEntry_Standard!D51&lt;&gt;"",DataEntry_Standard!D51,0)+IF(DataEntry_Standard!E51&lt;&gt;"",6-DataEntry_Standard!E51,0)+IF(DataEntry_Standard!F51&lt;&gt;"",6-DataEntry_Standard!F51,0)+IF(DataEntry_Standard!G51&lt;&gt;"",DataEntry_Standard!G51,0)+IF(DataEntry_Standard!H51&lt;&gt;"",6-DataEntry_Standard!H51,0)+IF(DataEntry_Standard!I51&lt;&gt;"",DataEntry_Standard!I51,0)+IF(DataEntry_Standard!J51&lt;&gt;"",DataEntry_Standard!J51,0)+IF(DataEntry_Standard!K51&lt;&gt;"",DataEntry_Standard!K51,0)+IF(DataEntry_Standard!L51&lt;&gt;"",DataEntry_Standard!L51,0)+IF(DataEntry_Standard!M51&lt;&gt;"",DataEntry_Standard!M51,0)</f>
        <v>0</v>
      </c>
      <c r="D49" s="24">
        <f>IF(DataEntry_Standard!N51&lt;&gt;"",DataEntry_Standard!N51,0)+IF(DataEntry_Standard!O51&lt;&gt;"",DataEntry_Standard!O51,0)+IF(DataEntry_Standard!P51&lt;&gt;"",DataEntry_Standard!P51,0)+IF(DataEntry_Standard!Q51&lt;&gt;"",6-DataEntry_Standard!Q51,0)+IF(DataEntry_Standard!R51&lt;&gt;"",6-DataEntry_Standard!R51,0)+IF(DataEntry_Standard!S51&lt;&gt;"",6-DataEntry_Standard!S51,0)+IF(DataEntry_Standard!T51&lt;&gt;"",DataEntry_Standard!T51,0)+IF(DataEntry_Standard!U51&lt;&gt;"",DataEntry_Standard!U51,0)+IF(DataEntry_Standard!V51&lt;&gt;"",DataEntry_Standard!V51,0)</f>
        <v>0</v>
      </c>
      <c r="E49" s="24">
        <f>IF(DataEntry_Standard!W51&lt;&gt;"",DataEntry_Standard!W51,0)+IF(DataEntry_Standard!X51&lt;&gt;"",6-DataEntry_Standard!X51,0)+IF(DataEntry_Standard!Y51&lt;&gt;"",6-DataEntry_Standard!Y51,0)+IF(DataEntry_Standard!Z51&lt;&gt;"",DataEntry_Standard!Z51,0)+IF(DataEntry_Standard!AA51&lt;&gt;"",6-DataEntry_Standard!AA51,0)+IF(DataEntry_Standard!AB51&lt;&gt;"",DataEntry_Standard!AB51,0)+IF(DataEntry_Standard!AC51&lt;&gt;"",DataEntry_Standard!AC51,0)+IF(DataEntry_Standard!AD51&lt;&gt;"",DataEntry_Standard!AD51,0)</f>
        <v>0</v>
      </c>
      <c r="F49" s="24">
        <f>IF(DataEntry_Standard!AE51&lt;&gt;"",DataEntry_Standard!AE51,0)+IF(DataEntry_Standard!AF51&lt;&gt;"",DataEntry_Standard!AF51,0)+IF(DataEntry_Standard!AG51&lt;&gt;"",6-DataEntry_Standard!AG51,0)+IF(DataEntry_Standard!AH51&lt;&gt;"",DataEntry_Standard!AH51,0)+IF(DataEntry_Standard!AI51&lt;&gt;"",6-DataEntry_Standard!AI51,0)</f>
        <v>0</v>
      </c>
      <c r="G49" s="24">
        <f>IF(DataEntry_Standard!AJ51&lt;&gt;"",DataEntry_Standard!AJ51,0)+IF(DataEntry_Standard!AK51&lt;&gt;"",6-DataEntry_Standard!AK51,0)+IF(DataEntry_Standard!AL51&lt;&gt;"",DataEntry_Standard!AL51,0)</f>
        <v>0</v>
      </c>
      <c r="H49" s="24">
        <f t="shared" si="2"/>
        <v>0</v>
      </c>
      <c r="I49" s="24">
        <f>IF(DataEntry_Standard!D51&gt;=4,1,0)+IF(DataEntry_Standard!G51&gt;=4,1,0)+IF(DataEntry_Standard!I51&gt;=4,1,0)+IF(DataEntry_Standard!J51&gt;=4,1,0)+IF(DataEntry_Standard!K51&gt;=4,1,0)+IF(DataEntry_Standard!L51&gt;=4,1,0)+IF(DataEntry_Standard!M51&gt;=4,1,0)+IF(DataEntry_Standard!N51&gt;=4,1,0)+IF(DataEntry_Standard!O51&gt;=4,1,0)+IF(DataEntry_Standard!P51&gt;=4,1,0)+IF(DataEntry_Standard!T51&gt;=4,1,0)+IF(DataEntry_Standard!U51&gt;=4,1,0)+IF(DataEntry_Standard!V51&gt;=4,1,0)+IF(DataEntry_Standard!W51&gt;=4,1,0)+IF(DataEntry_Standard!Z51&gt;=4,1,0)+IF(DataEntry_Standard!AB51&gt;=4,1,0)+IF(DataEntry_Standard!AC51&gt;=4,1,0)+IF(DataEntry_Standard!AD51&gt;=4,1,0)+IF(DataEntry_Standard!AE51&gt;=4,1,0)+IF(DataEntry_Standard!AF51&gt;=4,1,0)+IF(DataEntry_Standard!AH51&gt;=4,1,0)+IF(DataEntry_Standard!AJ51&gt;=4,1,0)+IF(DataEntry_Standard!AL51&gt;=4,1,0)+IF(DataEntry_Standard!AI51&lt;=2,1,0)+IF(DataEntry_Standard!E51&lt;=2,1,0)+IF(DataEntry_Standard!F51&lt;=2,1,0)+IF(DataEntry_Standard!AK51&lt;=2,1,0)+IF(DataEntry_Standard!H51&lt;=2,1,0)+IF(DataEntry_Standard!Q51&lt;=2,1,0)+IF(DataEntry_Standard!R51&lt;=2,1,0)+IF(DataEntry_Standard!S51&lt;=2,1,0)+IF(DataEntry_Standard!X51&lt;=2,1,0)+IF(DataEntry_Standard!Y51&lt;=2,1,0)+IF(DataEntry_Standard!AA51&lt;=2,1,0)+IF(DataEntry_Standard!AG51&lt;=2,1,0)</f>
        <v>12</v>
      </c>
      <c r="J49" s="24">
        <f>IF(DataEntry_SmartICT!D51&lt;&gt;"",DataEntry_SmartICT!D51,0)+IF(DataEntry_SmartICT!E51&lt;&gt;"",DataEntry_SmartICT!E51,0)+IF(DataEntry_SmartICT!F51&lt;&gt;"",6-DataEntry_SmartICT!F51,0)+IF(DataEntry_SmartICT!G51&lt;&gt;"",6-DataEntry_SmartICT!G51,0)+IF(DataEntry_SmartICT!H51&lt;&gt;"",DataEntry_SmartICT!H51,0)+IF(DataEntry_SmartICT!I51&lt;&gt;"",DataEntry_SmartICT!I51,0)+IF(DataEntry_SmartICT!J51&lt;&gt;"",6-DataEntry_SmartICT!J51,0)+IF(DataEntry_SmartICT!K51&lt;&gt;"",DataEntry_SmartICT!K51,0)+IF(DataEntry_SmartICT!L51&lt;&gt;"",6-DataEntry_SmartICT!L51,0)+IF(DataEntry_SmartICT!M51&lt;&gt;"",DataEntry_SmartICT!M51,0)+IF(DataEntry_SmartICT!N51&lt;&gt;"",6-DataEntry_SmartICT!N51,0)+IF(DataEntry_SmartICT!O51&lt;&gt;"",6-DataEntry_SmartICT!O51,0)+IF(DataEntry_SmartICT!P51&lt;&gt;"",6-DataEntry_SmartICT!P51,0)+IF(DataEntry_SmartICT!Q51&lt;&gt;"",6-DataEntry_SmartICT!Q51,0)+IF(DataEntry_SmartICT!R51&lt;&gt;"",6-DataEntry_SmartICT!R51,0)+IF(DataEntry_SmartICT!S51&lt;&gt;"",6-DataEntry_SmartICT!S51,0)+IF(DataEntry_SmartICT!T51&lt;&gt;"",6-DataEntry_SmartICT!T51,0)+IF(DataEntry_SmartICT!U51&lt;&gt;"",6-DataEntry_SmartICT!U51,0)+IF(DataEntry_SmartICT!V51&lt;&gt;"",DataEntry_SmartICT!V51,0)+IF(DataEntry_SmartICT!W51&lt;&gt;"",DataEntry_SmartICT!W51,0)+IF(DataEntry_SmartICT!X51&lt;&gt;"",DataEntry_SmartICT!X51,0)+IF(DataEntry_SmartICT!Y51&lt;&gt;"",6-DataEntry_SmartICT!Y51,0)+IF(DataEntry_SmartICT!Z51&lt;&gt;"",6-DataEntry_SmartICT!Z51,0)+IF(DataEntry_SmartICT!AA51&lt;&gt;"",DataEntry_SmartICT!AA51,0)+IF(DataEntry_SmartICT!AB51&lt;&gt;"",DataEntry_SmartICT!AB51,0)+IF(DataEntry_SmartICT!AC51&lt;&gt;"",6-DataEntry_SmartICT!AC51,0)+IF(DataEntry_SmartICT!AD51&lt;&gt;"",DataEntry_SmartICT!AD51,0)</f>
        <v>0</v>
      </c>
      <c r="K49" s="24">
        <f t="shared" si="3"/>
        <v>0</v>
      </c>
      <c r="L49" s="25" t="str">
        <f>IF(H49="","",IF(H49/35&lt;=Configurazione!C21,"Trascurabile",IF(H49/35&lt;=Configurazione!C22,"Moderato","Rilevante")))</f>
        <v>Trascurabile</v>
      </c>
      <c r="M49" s="25" t="str">
        <f>IF(J49=0,"N/A",IF(J49/27&lt;=Configurazione!C26,"Trascurabile",IF(J49/27&lt;=Configurazione!C27,"Moderato","Rilevante")))</f>
        <v>N/A</v>
      </c>
    </row>
    <row r="50" spans="1:13" x14ac:dyDescent="0.25">
      <c r="A50" s="18" t="str">
        <f>DataEntry_Standard!A52</f>
        <v>COMP-048</v>
      </c>
      <c r="B50" s="18">
        <f>DataEntry_Standard!C52</f>
        <v>0</v>
      </c>
      <c r="C50" s="24">
        <f>IF(DataEntry_Standard!D52&lt;&gt;"",DataEntry_Standard!D52,0)+IF(DataEntry_Standard!E52&lt;&gt;"",6-DataEntry_Standard!E52,0)+IF(DataEntry_Standard!F52&lt;&gt;"",6-DataEntry_Standard!F52,0)+IF(DataEntry_Standard!G52&lt;&gt;"",DataEntry_Standard!G52,0)+IF(DataEntry_Standard!H52&lt;&gt;"",6-DataEntry_Standard!H52,0)+IF(DataEntry_Standard!I52&lt;&gt;"",DataEntry_Standard!I52,0)+IF(DataEntry_Standard!J52&lt;&gt;"",DataEntry_Standard!J52,0)+IF(DataEntry_Standard!K52&lt;&gt;"",DataEntry_Standard!K52,0)+IF(DataEntry_Standard!L52&lt;&gt;"",DataEntry_Standard!L52,0)+IF(DataEntry_Standard!M52&lt;&gt;"",DataEntry_Standard!M52,0)</f>
        <v>0</v>
      </c>
      <c r="D50" s="24">
        <f>IF(DataEntry_Standard!N52&lt;&gt;"",DataEntry_Standard!N52,0)+IF(DataEntry_Standard!O52&lt;&gt;"",DataEntry_Standard!O52,0)+IF(DataEntry_Standard!P52&lt;&gt;"",DataEntry_Standard!P52,0)+IF(DataEntry_Standard!Q52&lt;&gt;"",6-DataEntry_Standard!Q52,0)+IF(DataEntry_Standard!R52&lt;&gt;"",6-DataEntry_Standard!R52,0)+IF(DataEntry_Standard!S52&lt;&gt;"",6-DataEntry_Standard!S52,0)+IF(DataEntry_Standard!T52&lt;&gt;"",DataEntry_Standard!T52,0)+IF(DataEntry_Standard!U52&lt;&gt;"",DataEntry_Standard!U52,0)+IF(DataEntry_Standard!V52&lt;&gt;"",DataEntry_Standard!V52,0)</f>
        <v>0</v>
      </c>
      <c r="E50" s="24">
        <f>IF(DataEntry_Standard!W52&lt;&gt;"",DataEntry_Standard!W52,0)+IF(DataEntry_Standard!X52&lt;&gt;"",6-DataEntry_Standard!X52,0)+IF(DataEntry_Standard!Y52&lt;&gt;"",6-DataEntry_Standard!Y52,0)+IF(DataEntry_Standard!Z52&lt;&gt;"",DataEntry_Standard!Z52,0)+IF(DataEntry_Standard!AA52&lt;&gt;"",6-DataEntry_Standard!AA52,0)+IF(DataEntry_Standard!AB52&lt;&gt;"",DataEntry_Standard!AB52,0)+IF(DataEntry_Standard!AC52&lt;&gt;"",DataEntry_Standard!AC52,0)+IF(DataEntry_Standard!AD52&lt;&gt;"",DataEntry_Standard!AD52,0)</f>
        <v>0</v>
      </c>
      <c r="F50" s="24">
        <f>IF(DataEntry_Standard!AE52&lt;&gt;"",DataEntry_Standard!AE52,0)+IF(DataEntry_Standard!AF52&lt;&gt;"",DataEntry_Standard!AF52,0)+IF(DataEntry_Standard!AG52&lt;&gt;"",6-DataEntry_Standard!AG52,0)+IF(DataEntry_Standard!AH52&lt;&gt;"",DataEntry_Standard!AH52,0)+IF(DataEntry_Standard!AI52&lt;&gt;"",6-DataEntry_Standard!AI52,0)</f>
        <v>0</v>
      </c>
      <c r="G50" s="24">
        <f>IF(DataEntry_Standard!AJ52&lt;&gt;"",DataEntry_Standard!AJ52,0)+IF(DataEntry_Standard!AK52&lt;&gt;"",6-DataEntry_Standard!AK52,0)+IF(DataEntry_Standard!AL52&lt;&gt;"",DataEntry_Standard!AL52,0)</f>
        <v>0</v>
      </c>
      <c r="H50" s="24">
        <f t="shared" si="2"/>
        <v>0</v>
      </c>
      <c r="I50" s="24">
        <f>IF(DataEntry_Standard!D52&gt;=4,1,0)+IF(DataEntry_Standard!G52&gt;=4,1,0)+IF(DataEntry_Standard!I52&gt;=4,1,0)+IF(DataEntry_Standard!J52&gt;=4,1,0)+IF(DataEntry_Standard!K52&gt;=4,1,0)+IF(DataEntry_Standard!L52&gt;=4,1,0)+IF(DataEntry_Standard!M52&gt;=4,1,0)+IF(DataEntry_Standard!N52&gt;=4,1,0)+IF(DataEntry_Standard!O52&gt;=4,1,0)+IF(DataEntry_Standard!P52&gt;=4,1,0)+IF(DataEntry_Standard!T52&gt;=4,1,0)+IF(DataEntry_Standard!U52&gt;=4,1,0)+IF(DataEntry_Standard!V52&gt;=4,1,0)+IF(DataEntry_Standard!W52&gt;=4,1,0)+IF(DataEntry_Standard!Z52&gt;=4,1,0)+IF(DataEntry_Standard!AB52&gt;=4,1,0)+IF(DataEntry_Standard!AC52&gt;=4,1,0)+IF(DataEntry_Standard!AD52&gt;=4,1,0)+IF(DataEntry_Standard!AE52&gt;=4,1,0)+IF(DataEntry_Standard!AF52&gt;=4,1,0)+IF(DataEntry_Standard!AH52&gt;=4,1,0)+IF(DataEntry_Standard!AJ52&gt;=4,1,0)+IF(DataEntry_Standard!AL52&gt;=4,1,0)+IF(DataEntry_Standard!AI52&lt;=2,1,0)+IF(DataEntry_Standard!E52&lt;=2,1,0)+IF(DataEntry_Standard!F52&lt;=2,1,0)+IF(DataEntry_Standard!AK52&lt;=2,1,0)+IF(DataEntry_Standard!H52&lt;=2,1,0)+IF(DataEntry_Standard!Q52&lt;=2,1,0)+IF(DataEntry_Standard!R52&lt;=2,1,0)+IF(DataEntry_Standard!S52&lt;=2,1,0)+IF(DataEntry_Standard!X52&lt;=2,1,0)+IF(DataEntry_Standard!Y52&lt;=2,1,0)+IF(DataEntry_Standard!AA52&lt;=2,1,0)+IF(DataEntry_Standard!AG52&lt;=2,1,0)</f>
        <v>12</v>
      </c>
      <c r="J50" s="24">
        <f>IF(DataEntry_SmartICT!D52&lt;&gt;"",DataEntry_SmartICT!D52,0)+IF(DataEntry_SmartICT!E52&lt;&gt;"",DataEntry_SmartICT!E52,0)+IF(DataEntry_SmartICT!F52&lt;&gt;"",6-DataEntry_SmartICT!F52,0)+IF(DataEntry_SmartICT!G52&lt;&gt;"",6-DataEntry_SmartICT!G52,0)+IF(DataEntry_SmartICT!H52&lt;&gt;"",DataEntry_SmartICT!H52,0)+IF(DataEntry_SmartICT!I52&lt;&gt;"",DataEntry_SmartICT!I52,0)+IF(DataEntry_SmartICT!J52&lt;&gt;"",6-DataEntry_SmartICT!J52,0)+IF(DataEntry_SmartICT!K52&lt;&gt;"",DataEntry_SmartICT!K52,0)+IF(DataEntry_SmartICT!L52&lt;&gt;"",6-DataEntry_SmartICT!L52,0)+IF(DataEntry_SmartICT!M52&lt;&gt;"",DataEntry_SmartICT!M52,0)+IF(DataEntry_SmartICT!N52&lt;&gt;"",6-DataEntry_SmartICT!N52,0)+IF(DataEntry_SmartICT!O52&lt;&gt;"",6-DataEntry_SmartICT!O52,0)+IF(DataEntry_SmartICT!P52&lt;&gt;"",6-DataEntry_SmartICT!P52,0)+IF(DataEntry_SmartICT!Q52&lt;&gt;"",6-DataEntry_SmartICT!Q52,0)+IF(DataEntry_SmartICT!R52&lt;&gt;"",6-DataEntry_SmartICT!R52,0)+IF(DataEntry_SmartICT!S52&lt;&gt;"",6-DataEntry_SmartICT!S52,0)+IF(DataEntry_SmartICT!T52&lt;&gt;"",6-DataEntry_SmartICT!T52,0)+IF(DataEntry_SmartICT!U52&lt;&gt;"",6-DataEntry_SmartICT!U52,0)+IF(DataEntry_SmartICT!V52&lt;&gt;"",DataEntry_SmartICT!V52,0)+IF(DataEntry_SmartICT!W52&lt;&gt;"",DataEntry_SmartICT!W52,0)+IF(DataEntry_SmartICT!X52&lt;&gt;"",DataEntry_SmartICT!X52,0)+IF(DataEntry_SmartICT!Y52&lt;&gt;"",6-DataEntry_SmartICT!Y52,0)+IF(DataEntry_SmartICT!Z52&lt;&gt;"",6-DataEntry_SmartICT!Z52,0)+IF(DataEntry_SmartICT!AA52&lt;&gt;"",DataEntry_SmartICT!AA52,0)+IF(DataEntry_SmartICT!AB52&lt;&gt;"",DataEntry_SmartICT!AB52,0)+IF(DataEntry_SmartICT!AC52&lt;&gt;"",6-DataEntry_SmartICT!AC52,0)+IF(DataEntry_SmartICT!AD52&lt;&gt;"",DataEntry_SmartICT!AD52,0)</f>
        <v>0</v>
      </c>
      <c r="K50" s="24">
        <f t="shared" si="3"/>
        <v>0</v>
      </c>
      <c r="L50" s="25" t="str">
        <f>IF(H50="","",IF(H50/35&lt;=Configurazione!C21,"Trascurabile",IF(H50/35&lt;=Configurazione!C22,"Moderato","Rilevante")))</f>
        <v>Trascurabile</v>
      </c>
      <c r="M50" s="25" t="str">
        <f>IF(J50=0,"N/A",IF(J50/27&lt;=Configurazione!C26,"Trascurabile",IF(J50/27&lt;=Configurazione!C27,"Moderato","Rilevante")))</f>
        <v>N/A</v>
      </c>
    </row>
    <row r="51" spans="1:13" x14ac:dyDescent="0.25">
      <c r="A51" s="18" t="str">
        <f>DataEntry_Standard!A53</f>
        <v>COMP-049</v>
      </c>
      <c r="B51" s="18">
        <f>DataEntry_Standard!C53</f>
        <v>0</v>
      </c>
      <c r="C51" s="24">
        <f>IF(DataEntry_Standard!D53&lt;&gt;"",DataEntry_Standard!D53,0)+IF(DataEntry_Standard!E53&lt;&gt;"",6-DataEntry_Standard!E53,0)+IF(DataEntry_Standard!F53&lt;&gt;"",6-DataEntry_Standard!F53,0)+IF(DataEntry_Standard!G53&lt;&gt;"",DataEntry_Standard!G53,0)+IF(DataEntry_Standard!H53&lt;&gt;"",6-DataEntry_Standard!H53,0)+IF(DataEntry_Standard!I53&lt;&gt;"",DataEntry_Standard!I53,0)+IF(DataEntry_Standard!J53&lt;&gt;"",DataEntry_Standard!J53,0)+IF(DataEntry_Standard!K53&lt;&gt;"",DataEntry_Standard!K53,0)+IF(DataEntry_Standard!L53&lt;&gt;"",DataEntry_Standard!L53,0)+IF(DataEntry_Standard!M53&lt;&gt;"",DataEntry_Standard!M53,0)</f>
        <v>0</v>
      </c>
      <c r="D51" s="24">
        <f>IF(DataEntry_Standard!N53&lt;&gt;"",DataEntry_Standard!N53,0)+IF(DataEntry_Standard!O53&lt;&gt;"",DataEntry_Standard!O53,0)+IF(DataEntry_Standard!P53&lt;&gt;"",DataEntry_Standard!P53,0)+IF(DataEntry_Standard!Q53&lt;&gt;"",6-DataEntry_Standard!Q53,0)+IF(DataEntry_Standard!R53&lt;&gt;"",6-DataEntry_Standard!R53,0)+IF(DataEntry_Standard!S53&lt;&gt;"",6-DataEntry_Standard!S53,0)+IF(DataEntry_Standard!T53&lt;&gt;"",DataEntry_Standard!T53,0)+IF(DataEntry_Standard!U53&lt;&gt;"",DataEntry_Standard!U53,0)+IF(DataEntry_Standard!V53&lt;&gt;"",DataEntry_Standard!V53,0)</f>
        <v>0</v>
      </c>
      <c r="E51" s="24">
        <f>IF(DataEntry_Standard!W53&lt;&gt;"",DataEntry_Standard!W53,0)+IF(DataEntry_Standard!X53&lt;&gt;"",6-DataEntry_Standard!X53,0)+IF(DataEntry_Standard!Y53&lt;&gt;"",6-DataEntry_Standard!Y53,0)+IF(DataEntry_Standard!Z53&lt;&gt;"",DataEntry_Standard!Z53,0)+IF(DataEntry_Standard!AA53&lt;&gt;"",6-DataEntry_Standard!AA53,0)+IF(DataEntry_Standard!AB53&lt;&gt;"",DataEntry_Standard!AB53,0)+IF(DataEntry_Standard!AC53&lt;&gt;"",DataEntry_Standard!AC53,0)+IF(DataEntry_Standard!AD53&lt;&gt;"",DataEntry_Standard!AD53,0)</f>
        <v>0</v>
      </c>
      <c r="F51" s="24">
        <f>IF(DataEntry_Standard!AE53&lt;&gt;"",DataEntry_Standard!AE53,0)+IF(DataEntry_Standard!AF53&lt;&gt;"",DataEntry_Standard!AF53,0)+IF(DataEntry_Standard!AG53&lt;&gt;"",6-DataEntry_Standard!AG53,0)+IF(DataEntry_Standard!AH53&lt;&gt;"",DataEntry_Standard!AH53,0)+IF(DataEntry_Standard!AI53&lt;&gt;"",6-DataEntry_Standard!AI53,0)</f>
        <v>0</v>
      </c>
      <c r="G51" s="24">
        <f>IF(DataEntry_Standard!AJ53&lt;&gt;"",DataEntry_Standard!AJ53,0)+IF(DataEntry_Standard!AK53&lt;&gt;"",6-DataEntry_Standard!AK53,0)+IF(DataEntry_Standard!AL53&lt;&gt;"",DataEntry_Standard!AL53,0)</f>
        <v>0</v>
      </c>
      <c r="H51" s="24">
        <f t="shared" si="2"/>
        <v>0</v>
      </c>
      <c r="I51" s="24">
        <f>IF(DataEntry_Standard!D53&gt;=4,1,0)+IF(DataEntry_Standard!G53&gt;=4,1,0)+IF(DataEntry_Standard!I53&gt;=4,1,0)+IF(DataEntry_Standard!J53&gt;=4,1,0)+IF(DataEntry_Standard!K53&gt;=4,1,0)+IF(DataEntry_Standard!L53&gt;=4,1,0)+IF(DataEntry_Standard!M53&gt;=4,1,0)+IF(DataEntry_Standard!N53&gt;=4,1,0)+IF(DataEntry_Standard!O53&gt;=4,1,0)+IF(DataEntry_Standard!P53&gt;=4,1,0)+IF(DataEntry_Standard!T53&gt;=4,1,0)+IF(DataEntry_Standard!U53&gt;=4,1,0)+IF(DataEntry_Standard!V53&gt;=4,1,0)+IF(DataEntry_Standard!W53&gt;=4,1,0)+IF(DataEntry_Standard!Z53&gt;=4,1,0)+IF(DataEntry_Standard!AB53&gt;=4,1,0)+IF(DataEntry_Standard!AC53&gt;=4,1,0)+IF(DataEntry_Standard!AD53&gt;=4,1,0)+IF(DataEntry_Standard!AE53&gt;=4,1,0)+IF(DataEntry_Standard!AF53&gt;=4,1,0)+IF(DataEntry_Standard!AH53&gt;=4,1,0)+IF(DataEntry_Standard!AJ53&gt;=4,1,0)+IF(DataEntry_Standard!AL53&gt;=4,1,0)+IF(DataEntry_Standard!AI53&lt;=2,1,0)+IF(DataEntry_Standard!E53&lt;=2,1,0)+IF(DataEntry_Standard!F53&lt;=2,1,0)+IF(DataEntry_Standard!AK53&lt;=2,1,0)+IF(DataEntry_Standard!H53&lt;=2,1,0)+IF(DataEntry_Standard!Q53&lt;=2,1,0)+IF(DataEntry_Standard!R53&lt;=2,1,0)+IF(DataEntry_Standard!S53&lt;=2,1,0)+IF(DataEntry_Standard!X53&lt;=2,1,0)+IF(DataEntry_Standard!Y53&lt;=2,1,0)+IF(DataEntry_Standard!AA53&lt;=2,1,0)+IF(DataEntry_Standard!AG53&lt;=2,1,0)</f>
        <v>12</v>
      </c>
      <c r="J51" s="24">
        <f>IF(DataEntry_SmartICT!D53&lt;&gt;"",DataEntry_SmartICT!D53,0)+IF(DataEntry_SmartICT!E53&lt;&gt;"",DataEntry_SmartICT!E53,0)+IF(DataEntry_SmartICT!F53&lt;&gt;"",6-DataEntry_SmartICT!F53,0)+IF(DataEntry_SmartICT!G53&lt;&gt;"",6-DataEntry_SmartICT!G53,0)+IF(DataEntry_SmartICT!H53&lt;&gt;"",DataEntry_SmartICT!H53,0)+IF(DataEntry_SmartICT!I53&lt;&gt;"",DataEntry_SmartICT!I53,0)+IF(DataEntry_SmartICT!J53&lt;&gt;"",6-DataEntry_SmartICT!J53,0)+IF(DataEntry_SmartICT!K53&lt;&gt;"",DataEntry_SmartICT!K53,0)+IF(DataEntry_SmartICT!L53&lt;&gt;"",6-DataEntry_SmartICT!L53,0)+IF(DataEntry_SmartICT!M53&lt;&gt;"",DataEntry_SmartICT!M53,0)+IF(DataEntry_SmartICT!N53&lt;&gt;"",6-DataEntry_SmartICT!N53,0)+IF(DataEntry_SmartICT!O53&lt;&gt;"",6-DataEntry_SmartICT!O53,0)+IF(DataEntry_SmartICT!P53&lt;&gt;"",6-DataEntry_SmartICT!P53,0)+IF(DataEntry_SmartICT!Q53&lt;&gt;"",6-DataEntry_SmartICT!Q53,0)+IF(DataEntry_SmartICT!R53&lt;&gt;"",6-DataEntry_SmartICT!R53,0)+IF(DataEntry_SmartICT!S53&lt;&gt;"",6-DataEntry_SmartICT!S53,0)+IF(DataEntry_SmartICT!T53&lt;&gt;"",6-DataEntry_SmartICT!T53,0)+IF(DataEntry_SmartICT!U53&lt;&gt;"",6-DataEntry_SmartICT!U53,0)+IF(DataEntry_SmartICT!V53&lt;&gt;"",DataEntry_SmartICT!V53,0)+IF(DataEntry_SmartICT!W53&lt;&gt;"",DataEntry_SmartICT!W53,0)+IF(DataEntry_SmartICT!X53&lt;&gt;"",DataEntry_SmartICT!X53,0)+IF(DataEntry_SmartICT!Y53&lt;&gt;"",6-DataEntry_SmartICT!Y53,0)+IF(DataEntry_SmartICT!Z53&lt;&gt;"",6-DataEntry_SmartICT!Z53,0)+IF(DataEntry_SmartICT!AA53&lt;&gt;"",DataEntry_SmartICT!AA53,0)+IF(DataEntry_SmartICT!AB53&lt;&gt;"",DataEntry_SmartICT!AB53,0)+IF(DataEntry_SmartICT!AC53&lt;&gt;"",6-DataEntry_SmartICT!AC53,0)+IF(DataEntry_SmartICT!AD53&lt;&gt;"",DataEntry_SmartICT!AD53,0)</f>
        <v>0</v>
      </c>
      <c r="K51" s="24">
        <f t="shared" si="3"/>
        <v>0</v>
      </c>
      <c r="L51" s="25" t="str">
        <f>IF(H51="","",IF(H51/35&lt;=Configurazione!C21,"Trascurabile",IF(H51/35&lt;=Configurazione!C22,"Moderato","Rilevante")))</f>
        <v>Trascurabile</v>
      </c>
      <c r="M51" s="25" t="str">
        <f>IF(J51=0,"N/A",IF(J51/27&lt;=Configurazione!C26,"Trascurabile",IF(J51/27&lt;=Configurazione!C27,"Moderato","Rilevante")))</f>
        <v>N/A</v>
      </c>
    </row>
    <row r="52" spans="1:13" x14ac:dyDescent="0.25">
      <c r="A52" s="18" t="str">
        <f>DataEntry_Standard!A54</f>
        <v>COMP-050</v>
      </c>
      <c r="B52" s="18">
        <f>DataEntry_Standard!C54</f>
        <v>0</v>
      </c>
      <c r="C52" s="24">
        <f>IF(DataEntry_Standard!D54&lt;&gt;"",DataEntry_Standard!D54,0)+IF(DataEntry_Standard!E54&lt;&gt;"",6-DataEntry_Standard!E54,0)+IF(DataEntry_Standard!F54&lt;&gt;"",6-DataEntry_Standard!F54,0)+IF(DataEntry_Standard!G54&lt;&gt;"",DataEntry_Standard!G54,0)+IF(DataEntry_Standard!H54&lt;&gt;"",6-DataEntry_Standard!H54,0)+IF(DataEntry_Standard!I54&lt;&gt;"",DataEntry_Standard!I54,0)+IF(DataEntry_Standard!J54&lt;&gt;"",DataEntry_Standard!J54,0)+IF(DataEntry_Standard!K54&lt;&gt;"",DataEntry_Standard!K54,0)+IF(DataEntry_Standard!L54&lt;&gt;"",DataEntry_Standard!L54,0)+IF(DataEntry_Standard!M54&lt;&gt;"",DataEntry_Standard!M54,0)</f>
        <v>0</v>
      </c>
      <c r="D52" s="24">
        <f>IF(DataEntry_Standard!N54&lt;&gt;"",DataEntry_Standard!N54,0)+IF(DataEntry_Standard!O54&lt;&gt;"",DataEntry_Standard!O54,0)+IF(DataEntry_Standard!P54&lt;&gt;"",DataEntry_Standard!P54,0)+IF(DataEntry_Standard!Q54&lt;&gt;"",6-DataEntry_Standard!Q54,0)+IF(DataEntry_Standard!R54&lt;&gt;"",6-DataEntry_Standard!R54,0)+IF(DataEntry_Standard!S54&lt;&gt;"",6-DataEntry_Standard!S54,0)+IF(DataEntry_Standard!T54&lt;&gt;"",DataEntry_Standard!T54,0)+IF(DataEntry_Standard!U54&lt;&gt;"",DataEntry_Standard!U54,0)+IF(DataEntry_Standard!V54&lt;&gt;"",DataEntry_Standard!V54,0)</f>
        <v>0</v>
      </c>
      <c r="E52" s="24">
        <f>IF(DataEntry_Standard!W54&lt;&gt;"",DataEntry_Standard!W54,0)+IF(DataEntry_Standard!X54&lt;&gt;"",6-DataEntry_Standard!X54,0)+IF(DataEntry_Standard!Y54&lt;&gt;"",6-DataEntry_Standard!Y54,0)+IF(DataEntry_Standard!Z54&lt;&gt;"",DataEntry_Standard!Z54,0)+IF(DataEntry_Standard!AA54&lt;&gt;"",6-DataEntry_Standard!AA54,0)+IF(DataEntry_Standard!AB54&lt;&gt;"",DataEntry_Standard!AB54,0)+IF(DataEntry_Standard!AC54&lt;&gt;"",DataEntry_Standard!AC54,0)+IF(DataEntry_Standard!AD54&lt;&gt;"",DataEntry_Standard!AD54,0)</f>
        <v>0</v>
      </c>
      <c r="F52" s="24">
        <f>IF(DataEntry_Standard!AE54&lt;&gt;"",DataEntry_Standard!AE54,0)+IF(DataEntry_Standard!AF54&lt;&gt;"",DataEntry_Standard!AF54,0)+IF(DataEntry_Standard!AG54&lt;&gt;"",6-DataEntry_Standard!AG54,0)+IF(DataEntry_Standard!AH54&lt;&gt;"",DataEntry_Standard!AH54,0)+IF(DataEntry_Standard!AI54&lt;&gt;"",6-DataEntry_Standard!AI54,0)</f>
        <v>0</v>
      </c>
      <c r="G52" s="24">
        <f>IF(DataEntry_Standard!AJ54&lt;&gt;"",DataEntry_Standard!AJ54,0)+IF(DataEntry_Standard!AK54&lt;&gt;"",6-DataEntry_Standard!AK54,0)+IF(DataEntry_Standard!AL54&lt;&gt;"",DataEntry_Standard!AL54,0)</f>
        <v>0</v>
      </c>
      <c r="H52" s="24">
        <f t="shared" si="2"/>
        <v>0</v>
      </c>
      <c r="I52" s="24">
        <f>IF(DataEntry_Standard!D54&gt;=4,1,0)+IF(DataEntry_Standard!G54&gt;=4,1,0)+IF(DataEntry_Standard!I54&gt;=4,1,0)+IF(DataEntry_Standard!J54&gt;=4,1,0)+IF(DataEntry_Standard!K54&gt;=4,1,0)+IF(DataEntry_Standard!L54&gt;=4,1,0)+IF(DataEntry_Standard!M54&gt;=4,1,0)+IF(DataEntry_Standard!N54&gt;=4,1,0)+IF(DataEntry_Standard!O54&gt;=4,1,0)+IF(DataEntry_Standard!P54&gt;=4,1,0)+IF(DataEntry_Standard!T54&gt;=4,1,0)+IF(DataEntry_Standard!U54&gt;=4,1,0)+IF(DataEntry_Standard!V54&gt;=4,1,0)+IF(DataEntry_Standard!W54&gt;=4,1,0)+IF(DataEntry_Standard!Z54&gt;=4,1,0)+IF(DataEntry_Standard!AB54&gt;=4,1,0)+IF(DataEntry_Standard!AC54&gt;=4,1,0)+IF(DataEntry_Standard!AD54&gt;=4,1,0)+IF(DataEntry_Standard!AE54&gt;=4,1,0)+IF(DataEntry_Standard!AF54&gt;=4,1,0)+IF(DataEntry_Standard!AH54&gt;=4,1,0)+IF(DataEntry_Standard!AJ54&gt;=4,1,0)+IF(DataEntry_Standard!AL54&gt;=4,1,0)+IF(DataEntry_Standard!AI54&lt;=2,1,0)+IF(DataEntry_Standard!E54&lt;=2,1,0)+IF(DataEntry_Standard!F54&lt;=2,1,0)+IF(DataEntry_Standard!AK54&lt;=2,1,0)+IF(DataEntry_Standard!H54&lt;=2,1,0)+IF(DataEntry_Standard!Q54&lt;=2,1,0)+IF(DataEntry_Standard!R54&lt;=2,1,0)+IF(DataEntry_Standard!S54&lt;=2,1,0)+IF(DataEntry_Standard!X54&lt;=2,1,0)+IF(DataEntry_Standard!Y54&lt;=2,1,0)+IF(DataEntry_Standard!AA54&lt;=2,1,0)+IF(DataEntry_Standard!AG54&lt;=2,1,0)</f>
        <v>12</v>
      </c>
      <c r="J52" s="24">
        <f>IF(DataEntry_SmartICT!D54&lt;&gt;"",DataEntry_SmartICT!D54,0)+IF(DataEntry_SmartICT!E54&lt;&gt;"",DataEntry_SmartICT!E54,0)+IF(DataEntry_SmartICT!F54&lt;&gt;"",6-DataEntry_SmartICT!F54,0)+IF(DataEntry_SmartICT!G54&lt;&gt;"",6-DataEntry_SmartICT!G54,0)+IF(DataEntry_SmartICT!H54&lt;&gt;"",DataEntry_SmartICT!H54,0)+IF(DataEntry_SmartICT!I54&lt;&gt;"",DataEntry_SmartICT!I54,0)+IF(DataEntry_SmartICT!J54&lt;&gt;"",6-DataEntry_SmartICT!J54,0)+IF(DataEntry_SmartICT!K54&lt;&gt;"",DataEntry_SmartICT!K54,0)+IF(DataEntry_SmartICT!L54&lt;&gt;"",6-DataEntry_SmartICT!L54,0)+IF(DataEntry_SmartICT!M54&lt;&gt;"",DataEntry_SmartICT!M54,0)+IF(DataEntry_SmartICT!N54&lt;&gt;"",6-DataEntry_SmartICT!N54,0)+IF(DataEntry_SmartICT!O54&lt;&gt;"",6-DataEntry_SmartICT!O54,0)+IF(DataEntry_SmartICT!P54&lt;&gt;"",6-DataEntry_SmartICT!P54,0)+IF(DataEntry_SmartICT!Q54&lt;&gt;"",6-DataEntry_SmartICT!Q54,0)+IF(DataEntry_SmartICT!R54&lt;&gt;"",6-DataEntry_SmartICT!R54,0)+IF(DataEntry_SmartICT!S54&lt;&gt;"",6-DataEntry_SmartICT!S54,0)+IF(DataEntry_SmartICT!T54&lt;&gt;"",6-DataEntry_SmartICT!T54,0)+IF(DataEntry_SmartICT!U54&lt;&gt;"",6-DataEntry_SmartICT!U54,0)+IF(DataEntry_SmartICT!V54&lt;&gt;"",DataEntry_SmartICT!V54,0)+IF(DataEntry_SmartICT!W54&lt;&gt;"",DataEntry_SmartICT!W54,0)+IF(DataEntry_SmartICT!X54&lt;&gt;"",DataEntry_SmartICT!X54,0)+IF(DataEntry_SmartICT!Y54&lt;&gt;"",6-DataEntry_SmartICT!Y54,0)+IF(DataEntry_SmartICT!Z54&lt;&gt;"",6-DataEntry_SmartICT!Z54,0)+IF(DataEntry_SmartICT!AA54&lt;&gt;"",DataEntry_SmartICT!AA54,0)+IF(DataEntry_SmartICT!AB54&lt;&gt;"",DataEntry_SmartICT!AB54,0)+IF(DataEntry_SmartICT!AC54&lt;&gt;"",6-DataEntry_SmartICT!AC54,0)+IF(DataEntry_SmartICT!AD54&lt;&gt;"",DataEntry_SmartICT!AD54,0)</f>
        <v>0</v>
      </c>
      <c r="K52" s="24">
        <f t="shared" si="3"/>
        <v>0</v>
      </c>
      <c r="L52" s="25" t="str">
        <f>IF(H52="","",IF(H52/35&lt;=Configurazione!C21,"Trascurabile",IF(H52/35&lt;=Configurazione!C22,"Moderato","Rilevante")))</f>
        <v>Trascurabile</v>
      </c>
      <c r="M52" s="25" t="str">
        <f>IF(J52=0,"N/A",IF(J52/27&lt;=Configurazione!C26,"Trascurabile",IF(J52/27&lt;=Configurazione!C27,"Moderato","Rilevante")))</f>
        <v>N/A</v>
      </c>
    </row>
  </sheetData>
  <mergeCells count="1">
    <mergeCell ref="A1:M1"/>
  </mergeCells>
  <conditionalFormatting sqref="L3:M52">
    <cfRule type="cellIs" dxfId="35" priority="2" operator="equal">
      <formula>"Trascurabile"</formula>
    </cfRule>
    <cfRule type="cellIs" dxfId="34" priority="3" operator="equal">
      <formula>"Moderato"</formula>
    </cfRule>
    <cfRule type="cellIs" dxfId="33" priority="4" operator="equal">
      <formula>"Rilevante"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L22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4" customWidth="1"/>
    <col min="2" max="2" width="25" customWidth="1"/>
    <col min="3" max="3" width="16" customWidth="1"/>
    <col min="4" max="6" width="18" customWidth="1"/>
    <col min="7" max="7" width="20" customWidth="1"/>
    <col min="8" max="9" width="18" customWidth="1"/>
    <col min="10" max="10" width="14" customWidth="1"/>
    <col min="11" max="11" width="16" customWidth="1"/>
    <col min="12" max="12" width="18" customWidth="1"/>
  </cols>
  <sheetData>
    <row r="1" spans="1:12" ht="16.149999999999999" customHeight="1" x14ac:dyDescent="0.25">
      <c r="A1" s="39" t="s">
        <v>312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25">
      <c r="A2" s="23" t="s">
        <v>83</v>
      </c>
      <c r="B2" s="23" t="s">
        <v>313</v>
      </c>
      <c r="C2" s="23" t="s">
        <v>314</v>
      </c>
      <c r="D2" s="23" t="s">
        <v>315</v>
      </c>
      <c r="E2" s="23" t="s">
        <v>316</v>
      </c>
      <c r="F2" s="23" t="s">
        <v>317</v>
      </c>
      <c r="G2" s="23" t="s">
        <v>318</v>
      </c>
      <c r="H2" s="23" t="s">
        <v>319</v>
      </c>
      <c r="I2" s="23" t="s">
        <v>320</v>
      </c>
      <c r="J2" s="23" t="s">
        <v>321</v>
      </c>
      <c r="K2" s="23" t="s">
        <v>322</v>
      </c>
      <c r="L2" s="23" t="s">
        <v>323</v>
      </c>
    </row>
    <row r="3" spans="1:12" x14ac:dyDescent="0.25">
      <c r="A3" s="18" t="str">
        <f>Gruppi_Omogenei!A3</f>
        <v>GRP-01</v>
      </c>
      <c r="B3" s="18">
        <f>Gruppi_Omogenei!B3</f>
        <v>0</v>
      </c>
      <c r="C3" s="24">
        <f>COUNTIF(Calcolo_Punteggi!B$3:B$52,A3)</f>
        <v>0</v>
      </c>
      <c r="D3" s="26" t="str">
        <f>IFERROR(AVERAGEIF(Calcolo_Punteggi!B$3:B$52,A3,Calcolo_Punteggi!C$3:C$52)/10,"")</f>
        <v/>
      </c>
      <c r="E3" s="26" t="str">
        <f>IFERROR(AVERAGEIF(Calcolo_Punteggi!B$3:B$52,A3,Calcolo_Punteggi!D$3:D$52)/9,"")</f>
        <v/>
      </c>
      <c r="F3" s="26" t="str">
        <f>IFERROR(AVERAGEIF(Calcolo_Punteggi!B$3:B$52,A3,Calcolo_Punteggi!E$3:E$52)/8,"")</f>
        <v/>
      </c>
      <c r="G3" s="26" t="str">
        <f>IFERROR(AVERAGEIF(Calcolo_Punteggi!B$3:B$52,A3,Calcolo_Punteggi!F$3:F$52)/5,"")</f>
        <v/>
      </c>
      <c r="H3" s="26" t="str">
        <f>IFERROR(AVERAGEIF(Calcolo_Punteggi!B$3:B$52,A3,Calcolo_Punteggi!G$3:G$52)/3,"")</f>
        <v/>
      </c>
      <c r="I3" s="26" t="str">
        <f>IFERROR(AVERAGEIF(Calcolo_Punteggi!B$3:B$52,A3,Calcolo_Punteggi!H$3:H$52)/35,"")</f>
        <v/>
      </c>
      <c r="J3" s="26" t="str">
        <f>IFERROR(STDEV(IF(Calcolo_Punteggi!B$3:B$52=A3,Calcolo_Punteggi!H$3:H$52)),"")</f>
        <v/>
      </c>
      <c r="K3" s="26" t="str">
        <f>IFERROR(AVERAGEIF(Calcolo_Punteggi!B$3:B$52,A3,Calcolo_Punteggi!J$3:J$52)/27,"")</f>
        <v/>
      </c>
      <c r="L3" s="26" t="str">
        <f>IFERROR(AVERAGEIF(Calcolo_Punteggi!B$3:B$52,A3,Calcolo_Punteggi!I$3:I$52),"")</f>
        <v/>
      </c>
    </row>
    <row r="4" spans="1:12" x14ac:dyDescent="0.25">
      <c r="A4" s="18" t="str">
        <f>Gruppi_Omogenei!A4</f>
        <v>GRP-02</v>
      </c>
      <c r="B4" s="18">
        <f>Gruppi_Omogenei!B4</f>
        <v>0</v>
      </c>
      <c r="C4" s="24">
        <f>COUNTIF(Calcolo_Punteggi!B$3:B$52,A4)</f>
        <v>0</v>
      </c>
      <c r="D4" s="26" t="str">
        <f>IFERROR(AVERAGEIF(Calcolo_Punteggi!B$3:B$52,A4,Calcolo_Punteggi!C$3:C$52)/10,"")</f>
        <v/>
      </c>
      <c r="E4" s="26" t="str">
        <f>IFERROR(AVERAGEIF(Calcolo_Punteggi!B$3:B$52,A4,Calcolo_Punteggi!D$3:D$52)/9,"")</f>
        <v/>
      </c>
      <c r="F4" s="26" t="str">
        <f>IFERROR(AVERAGEIF(Calcolo_Punteggi!B$3:B$52,A4,Calcolo_Punteggi!E$3:E$52)/8,"")</f>
        <v/>
      </c>
      <c r="G4" s="26" t="str">
        <f>IFERROR(AVERAGEIF(Calcolo_Punteggi!B$3:B$52,A4,Calcolo_Punteggi!F$3:F$52)/5,"")</f>
        <v/>
      </c>
      <c r="H4" s="26" t="str">
        <f>IFERROR(AVERAGEIF(Calcolo_Punteggi!B$3:B$52,A4,Calcolo_Punteggi!G$3:G$52)/3,"")</f>
        <v/>
      </c>
      <c r="I4" s="26" t="str">
        <f>IFERROR(AVERAGEIF(Calcolo_Punteggi!B$3:B$52,A4,Calcolo_Punteggi!H$3:H$52)/35,"")</f>
        <v/>
      </c>
      <c r="J4" s="26" t="str">
        <f>IFERROR(STDEV(IF(Calcolo_Punteggi!B$3:B$52=A4,Calcolo_Punteggi!H$3:H$52)),"")</f>
        <v/>
      </c>
      <c r="K4" s="26" t="str">
        <f>IFERROR(AVERAGEIF(Calcolo_Punteggi!B$3:B$52,A4,Calcolo_Punteggi!J$3:J$52)/27,"")</f>
        <v/>
      </c>
      <c r="L4" s="26" t="str">
        <f>IFERROR(AVERAGEIF(Calcolo_Punteggi!B$3:B$52,A4,Calcolo_Punteggi!I$3:I$52),"")</f>
        <v/>
      </c>
    </row>
    <row r="5" spans="1:12" x14ac:dyDescent="0.25">
      <c r="A5" s="18" t="str">
        <f>Gruppi_Omogenei!A5</f>
        <v>GRP-03</v>
      </c>
      <c r="B5" s="18">
        <f>Gruppi_Omogenei!B5</f>
        <v>0</v>
      </c>
      <c r="C5" s="24">
        <f>COUNTIF(Calcolo_Punteggi!B$3:B$52,A5)</f>
        <v>0</v>
      </c>
      <c r="D5" s="26" t="str">
        <f>IFERROR(AVERAGEIF(Calcolo_Punteggi!B$3:B$52,A5,Calcolo_Punteggi!C$3:C$52)/10,"")</f>
        <v/>
      </c>
      <c r="E5" s="26" t="str">
        <f>IFERROR(AVERAGEIF(Calcolo_Punteggi!B$3:B$52,A5,Calcolo_Punteggi!D$3:D$52)/9,"")</f>
        <v/>
      </c>
      <c r="F5" s="26" t="str">
        <f>IFERROR(AVERAGEIF(Calcolo_Punteggi!B$3:B$52,A5,Calcolo_Punteggi!E$3:E$52)/8,"")</f>
        <v/>
      </c>
      <c r="G5" s="26" t="str">
        <f>IFERROR(AVERAGEIF(Calcolo_Punteggi!B$3:B$52,A5,Calcolo_Punteggi!F$3:F$52)/5,"")</f>
        <v/>
      </c>
      <c r="H5" s="26" t="str">
        <f>IFERROR(AVERAGEIF(Calcolo_Punteggi!B$3:B$52,A5,Calcolo_Punteggi!G$3:G$52)/3,"")</f>
        <v/>
      </c>
      <c r="I5" s="26" t="str">
        <f>IFERROR(AVERAGEIF(Calcolo_Punteggi!B$3:B$52,A5,Calcolo_Punteggi!H$3:H$52)/35,"")</f>
        <v/>
      </c>
      <c r="J5" s="26" t="str">
        <f>IFERROR(STDEV(IF(Calcolo_Punteggi!B$3:B$52=A5,Calcolo_Punteggi!H$3:H$52)),"")</f>
        <v/>
      </c>
      <c r="K5" s="26" t="str">
        <f>IFERROR(AVERAGEIF(Calcolo_Punteggi!B$3:B$52,A5,Calcolo_Punteggi!J$3:J$52)/27,"")</f>
        <v/>
      </c>
      <c r="L5" s="26" t="str">
        <f>IFERROR(AVERAGEIF(Calcolo_Punteggi!B$3:B$52,A5,Calcolo_Punteggi!I$3:I$52),"")</f>
        <v/>
      </c>
    </row>
    <row r="6" spans="1:12" x14ac:dyDescent="0.25">
      <c r="A6" s="18" t="str">
        <f>Gruppi_Omogenei!A6</f>
        <v>GRP-04</v>
      </c>
      <c r="B6" s="18">
        <f>Gruppi_Omogenei!B6</f>
        <v>0</v>
      </c>
      <c r="C6" s="24">
        <f>COUNTIF(Calcolo_Punteggi!B$3:B$52,A6)</f>
        <v>0</v>
      </c>
      <c r="D6" s="26" t="str">
        <f>IFERROR(AVERAGEIF(Calcolo_Punteggi!B$3:B$52,A6,Calcolo_Punteggi!C$3:C$52)/10,"")</f>
        <v/>
      </c>
      <c r="E6" s="26" t="str">
        <f>IFERROR(AVERAGEIF(Calcolo_Punteggi!B$3:B$52,A6,Calcolo_Punteggi!D$3:D$52)/9,"")</f>
        <v/>
      </c>
      <c r="F6" s="26" t="str">
        <f>IFERROR(AVERAGEIF(Calcolo_Punteggi!B$3:B$52,A6,Calcolo_Punteggi!E$3:E$52)/8,"")</f>
        <v/>
      </c>
      <c r="G6" s="26" t="str">
        <f>IFERROR(AVERAGEIF(Calcolo_Punteggi!B$3:B$52,A6,Calcolo_Punteggi!F$3:F$52)/5,"")</f>
        <v/>
      </c>
      <c r="H6" s="26" t="str">
        <f>IFERROR(AVERAGEIF(Calcolo_Punteggi!B$3:B$52,A6,Calcolo_Punteggi!G$3:G$52)/3,"")</f>
        <v/>
      </c>
      <c r="I6" s="26" t="str">
        <f>IFERROR(AVERAGEIF(Calcolo_Punteggi!B$3:B$52,A6,Calcolo_Punteggi!H$3:H$52)/35,"")</f>
        <v/>
      </c>
      <c r="J6" s="26" t="str">
        <f>IFERROR(STDEV(IF(Calcolo_Punteggi!B$3:B$52=A6,Calcolo_Punteggi!H$3:H$52)),"")</f>
        <v/>
      </c>
      <c r="K6" s="26" t="str">
        <f>IFERROR(AVERAGEIF(Calcolo_Punteggi!B$3:B$52,A6,Calcolo_Punteggi!J$3:J$52)/27,"")</f>
        <v/>
      </c>
      <c r="L6" s="26" t="str">
        <f>IFERROR(AVERAGEIF(Calcolo_Punteggi!B$3:B$52,A6,Calcolo_Punteggi!I$3:I$52),"")</f>
        <v/>
      </c>
    </row>
    <row r="7" spans="1:12" x14ac:dyDescent="0.25">
      <c r="A7" s="18" t="str">
        <f>Gruppi_Omogenei!A7</f>
        <v>GRP-05</v>
      </c>
      <c r="B7" s="18">
        <f>Gruppi_Omogenei!B7</f>
        <v>0</v>
      </c>
      <c r="C7" s="24">
        <f>COUNTIF(Calcolo_Punteggi!B$3:B$52,A7)</f>
        <v>0</v>
      </c>
      <c r="D7" s="26" t="str">
        <f>IFERROR(AVERAGEIF(Calcolo_Punteggi!B$3:B$52,A7,Calcolo_Punteggi!C$3:C$52)/10,"")</f>
        <v/>
      </c>
      <c r="E7" s="26" t="str">
        <f>IFERROR(AVERAGEIF(Calcolo_Punteggi!B$3:B$52,A7,Calcolo_Punteggi!D$3:D$52)/9,"")</f>
        <v/>
      </c>
      <c r="F7" s="26" t="str">
        <f>IFERROR(AVERAGEIF(Calcolo_Punteggi!B$3:B$52,A7,Calcolo_Punteggi!E$3:E$52)/8,"")</f>
        <v/>
      </c>
      <c r="G7" s="26" t="str">
        <f>IFERROR(AVERAGEIF(Calcolo_Punteggi!B$3:B$52,A7,Calcolo_Punteggi!F$3:F$52)/5,"")</f>
        <v/>
      </c>
      <c r="H7" s="26" t="str">
        <f>IFERROR(AVERAGEIF(Calcolo_Punteggi!B$3:B$52,A7,Calcolo_Punteggi!G$3:G$52)/3,"")</f>
        <v/>
      </c>
      <c r="I7" s="26" t="str">
        <f>IFERROR(AVERAGEIF(Calcolo_Punteggi!B$3:B$52,A7,Calcolo_Punteggi!H$3:H$52)/35,"")</f>
        <v/>
      </c>
      <c r="J7" s="26" t="str">
        <f>IFERROR(STDEV(IF(Calcolo_Punteggi!B$3:B$52=A7,Calcolo_Punteggi!H$3:H$52)),"")</f>
        <v/>
      </c>
      <c r="K7" s="26" t="str">
        <f>IFERROR(AVERAGEIF(Calcolo_Punteggi!B$3:B$52,A7,Calcolo_Punteggi!J$3:J$52)/27,"")</f>
        <v/>
      </c>
      <c r="L7" s="26" t="str">
        <f>IFERROR(AVERAGEIF(Calcolo_Punteggi!B$3:B$52,A7,Calcolo_Punteggi!I$3:I$52),"")</f>
        <v/>
      </c>
    </row>
    <row r="8" spans="1:12" x14ac:dyDescent="0.25">
      <c r="A8" s="18" t="str">
        <f>Gruppi_Omogenei!A8</f>
        <v>GRP-06</v>
      </c>
      <c r="B8" s="18">
        <f>Gruppi_Omogenei!B8</f>
        <v>0</v>
      </c>
      <c r="C8" s="24">
        <f>COUNTIF(Calcolo_Punteggi!B$3:B$52,A8)</f>
        <v>0</v>
      </c>
      <c r="D8" s="26" t="str">
        <f>IFERROR(AVERAGEIF(Calcolo_Punteggi!B$3:B$52,A8,Calcolo_Punteggi!C$3:C$52)/10,"")</f>
        <v/>
      </c>
      <c r="E8" s="26" t="str">
        <f>IFERROR(AVERAGEIF(Calcolo_Punteggi!B$3:B$52,A8,Calcolo_Punteggi!D$3:D$52)/9,"")</f>
        <v/>
      </c>
      <c r="F8" s="26" t="str">
        <f>IFERROR(AVERAGEIF(Calcolo_Punteggi!B$3:B$52,A8,Calcolo_Punteggi!E$3:E$52)/8,"")</f>
        <v/>
      </c>
      <c r="G8" s="26" t="str">
        <f>IFERROR(AVERAGEIF(Calcolo_Punteggi!B$3:B$52,A8,Calcolo_Punteggi!F$3:F$52)/5,"")</f>
        <v/>
      </c>
      <c r="H8" s="26" t="str">
        <f>IFERROR(AVERAGEIF(Calcolo_Punteggi!B$3:B$52,A8,Calcolo_Punteggi!G$3:G$52)/3,"")</f>
        <v/>
      </c>
      <c r="I8" s="26" t="str">
        <f>IFERROR(AVERAGEIF(Calcolo_Punteggi!B$3:B$52,A8,Calcolo_Punteggi!H$3:H$52)/35,"")</f>
        <v/>
      </c>
      <c r="J8" s="26" t="str">
        <f>IFERROR(STDEV(IF(Calcolo_Punteggi!B$3:B$52=A8,Calcolo_Punteggi!H$3:H$52)),"")</f>
        <v/>
      </c>
      <c r="K8" s="26" t="str">
        <f>IFERROR(AVERAGEIF(Calcolo_Punteggi!B$3:B$52,A8,Calcolo_Punteggi!J$3:J$52)/27,"")</f>
        <v/>
      </c>
      <c r="L8" s="26" t="str">
        <f>IFERROR(AVERAGEIF(Calcolo_Punteggi!B$3:B$52,A8,Calcolo_Punteggi!I$3:I$52),"")</f>
        <v/>
      </c>
    </row>
    <row r="9" spans="1:12" x14ac:dyDescent="0.25">
      <c r="A9" s="18" t="str">
        <f>Gruppi_Omogenei!A9</f>
        <v>GRP-07</v>
      </c>
      <c r="B9" s="18">
        <f>Gruppi_Omogenei!B9</f>
        <v>0</v>
      </c>
      <c r="C9" s="24">
        <f>COUNTIF(Calcolo_Punteggi!B$3:B$52,A9)</f>
        <v>0</v>
      </c>
      <c r="D9" s="26" t="str">
        <f>IFERROR(AVERAGEIF(Calcolo_Punteggi!B$3:B$52,A9,Calcolo_Punteggi!C$3:C$52)/10,"")</f>
        <v/>
      </c>
      <c r="E9" s="26" t="str">
        <f>IFERROR(AVERAGEIF(Calcolo_Punteggi!B$3:B$52,A9,Calcolo_Punteggi!D$3:D$52)/9,"")</f>
        <v/>
      </c>
      <c r="F9" s="26" t="str">
        <f>IFERROR(AVERAGEIF(Calcolo_Punteggi!B$3:B$52,A9,Calcolo_Punteggi!E$3:E$52)/8,"")</f>
        <v/>
      </c>
      <c r="G9" s="26" t="str">
        <f>IFERROR(AVERAGEIF(Calcolo_Punteggi!B$3:B$52,A9,Calcolo_Punteggi!F$3:F$52)/5,"")</f>
        <v/>
      </c>
      <c r="H9" s="26" t="str">
        <f>IFERROR(AVERAGEIF(Calcolo_Punteggi!B$3:B$52,A9,Calcolo_Punteggi!G$3:G$52)/3,"")</f>
        <v/>
      </c>
      <c r="I9" s="26" t="str">
        <f>IFERROR(AVERAGEIF(Calcolo_Punteggi!B$3:B$52,A9,Calcolo_Punteggi!H$3:H$52)/35,"")</f>
        <v/>
      </c>
      <c r="J9" s="26" t="str">
        <f>IFERROR(STDEV(IF(Calcolo_Punteggi!B$3:B$52=A9,Calcolo_Punteggi!H$3:H$52)),"")</f>
        <v/>
      </c>
      <c r="K9" s="26" t="str">
        <f>IFERROR(AVERAGEIF(Calcolo_Punteggi!B$3:B$52,A9,Calcolo_Punteggi!J$3:J$52)/27,"")</f>
        <v/>
      </c>
      <c r="L9" s="26" t="str">
        <f>IFERROR(AVERAGEIF(Calcolo_Punteggi!B$3:B$52,A9,Calcolo_Punteggi!I$3:I$52),"")</f>
        <v/>
      </c>
    </row>
    <row r="10" spans="1:12" x14ac:dyDescent="0.25">
      <c r="A10" s="18" t="str">
        <f>Gruppi_Omogenei!A10</f>
        <v>GRP-08</v>
      </c>
      <c r="B10" s="18">
        <f>Gruppi_Omogenei!B10</f>
        <v>0</v>
      </c>
      <c r="C10" s="24">
        <f>COUNTIF(Calcolo_Punteggi!B$3:B$52,A10)</f>
        <v>0</v>
      </c>
      <c r="D10" s="26" t="str">
        <f>IFERROR(AVERAGEIF(Calcolo_Punteggi!B$3:B$52,A10,Calcolo_Punteggi!C$3:C$52)/10,"")</f>
        <v/>
      </c>
      <c r="E10" s="26" t="str">
        <f>IFERROR(AVERAGEIF(Calcolo_Punteggi!B$3:B$52,A10,Calcolo_Punteggi!D$3:D$52)/9,"")</f>
        <v/>
      </c>
      <c r="F10" s="26" t="str">
        <f>IFERROR(AVERAGEIF(Calcolo_Punteggi!B$3:B$52,A10,Calcolo_Punteggi!E$3:E$52)/8,"")</f>
        <v/>
      </c>
      <c r="G10" s="26" t="str">
        <f>IFERROR(AVERAGEIF(Calcolo_Punteggi!B$3:B$52,A10,Calcolo_Punteggi!F$3:F$52)/5,"")</f>
        <v/>
      </c>
      <c r="H10" s="26" t="str">
        <f>IFERROR(AVERAGEIF(Calcolo_Punteggi!B$3:B$52,A10,Calcolo_Punteggi!G$3:G$52)/3,"")</f>
        <v/>
      </c>
      <c r="I10" s="26" t="str">
        <f>IFERROR(AVERAGEIF(Calcolo_Punteggi!B$3:B$52,A10,Calcolo_Punteggi!H$3:H$52)/35,"")</f>
        <v/>
      </c>
      <c r="J10" s="26" t="str">
        <f>IFERROR(STDEV(IF(Calcolo_Punteggi!B$3:B$52=A10,Calcolo_Punteggi!H$3:H$52)),"")</f>
        <v/>
      </c>
      <c r="K10" s="26" t="str">
        <f>IFERROR(AVERAGEIF(Calcolo_Punteggi!B$3:B$52,A10,Calcolo_Punteggi!J$3:J$52)/27,"")</f>
        <v/>
      </c>
      <c r="L10" s="26" t="str">
        <f>IFERROR(AVERAGEIF(Calcolo_Punteggi!B$3:B$52,A10,Calcolo_Punteggi!I$3:I$52),"")</f>
        <v/>
      </c>
    </row>
    <row r="11" spans="1:12" x14ac:dyDescent="0.25">
      <c r="A11" s="18" t="str">
        <f>Gruppi_Omogenei!A11</f>
        <v>GRP-09</v>
      </c>
      <c r="B11" s="18">
        <f>Gruppi_Omogenei!B11</f>
        <v>0</v>
      </c>
      <c r="C11" s="24">
        <f>COUNTIF(Calcolo_Punteggi!B$3:B$52,A11)</f>
        <v>0</v>
      </c>
      <c r="D11" s="26" t="str">
        <f>IFERROR(AVERAGEIF(Calcolo_Punteggi!B$3:B$52,A11,Calcolo_Punteggi!C$3:C$52)/10,"")</f>
        <v/>
      </c>
      <c r="E11" s="26" t="str">
        <f>IFERROR(AVERAGEIF(Calcolo_Punteggi!B$3:B$52,A11,Calcolo_Punteggi!D$3:D$52)/9,"")</f>
        <v/>
      </c>
      <c r="F11" s="26" t="str">
        <f>IFERROR(AVERAGEIF(Calcolo_Punteggi!B$3:B$52,A11,Calcolo_Punteggi!E$3:E$52)/8,"")</f>
        <v/>
      </c>
      <c r="G11" s="26" t="str">
        <f>IFERROR(AVERAGEIF(Calcolo_Punteggi!B$3:B$52,A11,Calcolo_Punteggi!F$3:F$52)/5,"")</f>
        <v/>
      </c>
      <c r="H11" s="26" t="str">
        <f>IFERROR(AVERAGEIF(Calcolo_Punteggi!B$3:B$52,A11,Calcolo_Punteggi!G$3:G$52)/3,"")</f>
        <v/>
      </c>
      <c r="I11" s="26" t="str">
        <f>IFERROR(AVERAGEIF(Calcolo_Punteggi!B$3:B$52,A11,Calcolo_Punteggi!H$3:H$52)/35,"")</f>
        <v/>
      </c>
      <c r="J11" s="26" t="str">
        <f>IFERROR(STDEV(IF(Calcolo_Punteggi!B$3:B$52=A11,Calcolo_Punteggi!H$3:H$52)),"")</f>
        <v/>
      </c>
      <c r="K11" s="26" t="str">
        <f>IFERROR(AVERAGEIF(Calcolo_Punteggi!B$3:B$52,A11,Calcolo_Punteggi!J$3:J$52)/27,"")</f>
        <v/>
      </c>
      <c r="L11" s="26" t="str">
        <f>IFERROR(AVERAGEIF(Calcolo_Punteggi!B$3:B$52,A11,Calcolo_Punteggi!I$3:I$52),"")</f>
        <v/>
      </c>
    </row>
    <row r="12" spans="1:12" x14ac:dyDescent="0.25">
      <c r="A12" s="18" t="str">
        <f>Gruppi_Omogenei!A12</f>
        <v>GRP-10</v>
      </c>
      <c r="B12" s="18">
        <f>Gruppi_Omogenei!B12</f>
        <v>0</v>
      </c>
      <c r="C12" s="24">
        <f>COUNTIF(Calcolo_Punteggi!B$3:B$52,A12)</f>
        <v>0</v>
      </c>
      <c r="D12" s="26" t="str">
        <f>IFERROR(AVERAGEIF(Calcolo_Punteggi!B$3:B$52,A12,Calcolo_Punteggi!C$3:C$52)/10,"")</f>
        <v/>
      </c>
      <c r="E12" s="26" t="str">
        <f>IFERROR(AVERAGEIF(Calcolo_Punteggi!B$3:B$52,A12,Calcolo_Punteggi!D$3:D$52)/9,"")</f>
        <v/>
      </c>
      <c r="F12" s="26" t="str">
        <f>IFERROR(AVERAGEIF(Calcolo_Punteggi!B$3:B$52,A12,Calcolo_Punteggi!E$3:E$52)/8,"")</f>
        <v/>
      </c>
      <c r="G12" s="26" t="str">
        <f>IFERROR(AVERAGEIF(Calcolo_Punteggi!B$3:B$52,A12,Calcolo_Punteggi!F$3:F$52)/5,"")</f>
        <v/>
      </c>
      <c r="H12" s="26" t="str">
        <f>IFERROR(AVERAGEIF(Calcolo_Punteggi!B$3:B$52,A12,Calcolo_Punteggi!G$3:G$52)/3,"")</f>
        <v/>
      </c>
      <c r="I12" s="26" t="str">
        <f>IFERROR(AVERAGEIF(Calcolo_Punteggi!B$3:B$52,A12,Calcolo_Punteggi!H$3:H$52)/35,"")</f>
        <v/>
      </c>
      <c r="J12" s="26" t="str">
        <f>IFERROR(STDEV(IF(Calcolo_Punteggi!B$3:B$52=A12,Calcolo_Punteggi!H$3:H$52)),"")</f>
        <v/>
      </c>
      <c r="K12" s="26" t="str">
        <f>IFERROR(AVERAGEIF(Calcolo_Punteggi!B$3:B$52,A12,Calcolo_Punteggi!J$3:J$52)/27,"")</f>
        <v/>
      </c>
      <c r="L12" s="26" t="str">
        <f>IFERROR(AVERAGEIF(Calcolo_Punteggi!B$3:B$52,A12,Calcolo_Punteggi!I$3:I$52),"")</f>
        <v/>
      </c>
    </row>
    <row r="13" spans="1:12" x14ac:dyDescent="0.25">
      <c r="A13" s="18" t="str">
        <f>Gruppi_Omogenei!A13</f>
        <v>GRP-11</v>
      </c>
      <c r="B13" s="18">
        <f>Gruppi_Omogenei!B13</f>
        <v>0</v>
      </c>
      <c r="C13" s="24">
        <f>COUNTIF(Calcolo_Punteggi!B$3:B$52,A13)</f>
        <v>0</v>
      </c>
      <c r="D13" s="26" t="str">
        <f>IFERROR(AVERAGEIF(Calcolo_Punteggi!B$3:B$52,A13,Calcolo_Punteggi!C$3:C$52)/10,"")</f>
        <v/>
      </c>
      <c r="E13" s="26" t="str">
        <f>IFERROR(AVERAGEIF(Calcolo_Punteggi!B$3:B$52,A13,Calcolo_Punteggi!D$3:D$52)/9,"")</f>
        <v/>
      </c>
      <c r="F13" s="26" t="str">
        <f>IFERROR(AVERAGEIF(Calcolo_Punteggi!B$3:B$52,A13,Calcolo_Punteggi!E$3:E$52)/8,"")</f>
        <v/>
      </c>
      <c r="G13" s="26" t="str">
        <f>IFERROR(AVERAGEIF(Calcolo_Punteggi!B$3:B$52,A13,Calcolo_Punteggi!F$3:F$52)/5,"")</f>
        <v/>
      </c>
      <c r="H13" s="26" t="str">
        <f>IFERROR(AVERAGEIF(Calcolo_Punteggi!B$3:B$52,A13,Calcolo_Punteggi!G$3:G$52)/3,"")</f>
        <v/>
      </c>
      <c r="I13" s="26" t="str">
        <f>IFERROR(AVERAGEIF(Calcolo_Punteggi!B$3:B$52,A13,Calcolo_Punteggi!H$3:H$52)/35,"")</f>
        <v/>
      </c>
      <c r="J13" s="26" t="str">
        <f>IFERROR(STDEV(IF(Calcolo_Punteggi!B$3:B$52=A13,Calcolo_Punteggi!H$3:H$52)),"")</f>
        <v/>
      </c>
      <c r="K13" s="26" t="str">
        <f>IFERROR(AVERAGEIF(Calcolo_Punteggi!B$3:B$52,A13,Calcolo_Punteggi!J$3:J$52)/27,"")</f>
        <v/>
      </c>
      <c r="L13" s="26" t="str">
        <f>IFERROR(AVERAGEIF(Calcolo_Punteggi!B$3:B$52,A13,Calcolo_Punteggi!I$3:I$52),"")</f>
        <v/>
      </c>
    </row>
    <row r="14" spans="1:12" x14ac:dyDescent="0.25">
      <c r="A14" s="18" t="str">
        <f>Gruppi_Omogenei!A14</f>
        <v>GRP-12</v>
      </c>
      <c r="B14" s="18">
        <f>Gruppi_Omogenei!B14</f>
        <v>0</v>
      </c>
      <c r="C14" s="24">
        <f>COUNTIF(Calcolo_Punteggi!B$3:B$52,A14)</f>
        <v>0</v>
      </c>
      <c r="D14" s="26" t="str">
        <f>IFERROR(AVERAGEIF(Calcolo_Punteggi!B$3:B$52,A14,Calcolo_Punteggi!C$3:C$52)/10,"")</f>
        <v/>
      </c>
      <c r="E14" s="26" t="str">
        <f>IFERROR(AVERAGEIF(Calcolo_Punteggi!B$3:B$52,A14,Calcolo_Punteggi!D$3:D$52)/9,"")</f>
        <v/>
      </c>
      <c r="F14" s="26" t="str">
        <f>IFERROR(AVERAGEIF(Calcolo_Punteggi!B$3:B$52,A14,Calcolo_Punteggi!E$3:E$52)/8,"")</f>
        <v/>
      </c>
      <c r="G14" s="26" t="str">
        <f>IFERROR(AVERAGEIF(Calcolo_Punteggi!B$3:B$52,A14,Calcolo_Punteggi!F$3:F$52)/5,"")</f>
        <v/>
      </c>
      <c r="H14" s="26" t="str">
        <f>IFERROR(AVERAGEIF(Calcolo_Punteggi!B$3:B$52,A14,Calcolo_Punteggi!G$3:G$52)/3,"")</f>
        <v/>
      </c>
      <c r="I14" s="26" t="str">
        <f>IFERROR(AVERAGEIF(Calcolo_Punteggi!B$3:B$52,A14,Calcolo_Punteggi!H$3:H$52)/35,"")</f>
        <v/>
      </c>
      <c r="J14" s="26" t="str">
        <f>IFERROR(STDEV(IF(Calcolo_Punteggi!B$3:B$52=A14,Calcolo_Punteggi!H$3:H$52)),"")</f>
        <v/>
      </c>
      <c r="K14" s="26" t="str">
        <f>IFERROR(AVERAGEIF(Calcolo_Punteggi!B$3:B$52,A14,Calcolo_Punteggi!J$3:J$52)/27,"")</f>
        <v/>
      </c>
      <c r="L14" s="26" t="str">
        <f>IFERROR(AVERAGEIF(Calcolo_Punteggi!B$3:B$52,A14,Calcolo_Punteggi!I$3:I$52),"")</f>
        <v/>
      </c>
    </row>
    <row r="15" spans="1:12" x14ac:dyDescent="0.25">
      <c r="A15" s="18" t="str">
        <f>Gruppi_Omogenei!A15</f>
        <v>GRP-13</v>
      </c>
      <c r="B15" s="18">
        <f>Gruppi_Omogenei!B15</f>
        <v>0</v>
      </c>
      <c r="C15" s="24">
        <f>COUNTIF(Calcolo_Punteggi!B$3:B$52,A15)</f>
        <v>0</v>
      </c>
      <c r="D15" s="26" t="str">
        <f>IFERROR(AVERAGEIF(Calcolo_Punteggi!B$3:B$52,A15,Calcolo_Punteggi!C$3:C$52)/10,"")</f>
        <v/>
      </c>
      <c r="E15" s="26" t="str">
        <f>IFERROR(AVERAGEIF(Calcolo_Punteggi!B$3:B$52,A15,Calcolo_Punteggi!D$3:D$52)/9,"")</f>
        <v/>
      </c>
      <c r="F15" s="26" t="str">
        <f>IFERROR(AVERAGEIF(Calcolo_Punteggi!B$3:B$52,A15,Calcolo_Punteggi!E$3:E$52)/8,"")</f>
        <v/>
      </c>
      <c r="G15" s="26" t="str">
        <f>IFERROR(AVERAGEIF(Calcolo_Punteggi!B$3:B$52,A15,Calcolo_Punteggi!F$3:F$52)/5,"")</f>
        <v/>
      </c>
      <c r="H15" s="26" t="str">
        <f>IFERROR(AVERAGEIF(Calcolo_Punteggi!B$3:B$52,A15,Calcolo_Punteggi!G$3:G$52)/3,"")</f>
        <v/>
      </c>
      <c r="I15" s="26" t="str">
        <f>IFERROR(AVERAGEIF(Calcolo_Punteggi!B$3:B$52,A15,Calcolo_Punteggi!H$3:H$52)/35,"")</f>
        <v/>
      </c>
      <c r="J15" s="26" t="str">
        <f>IFERROR(STDEV(IF(Calcolo_Punteggi!B$3:B$52=A15,Calcolo_Punteggi!H$3:H$52)),"")</f>
        <v/>
      </c>
      <c r="K15" s="26" t="str">
        <f>IFERROR(AVERAGEIF(Calcolo_Punteggi!B$3:B$52,A15,Calcolo_Punteggi!J$3:J$52)/27,"")</f>
        <v/>
      </c>
      <c r="L15" s="26" t="str">
        <f>IFERROR(AVERAGEIF(Calcolo_Punteggi!B$3:B$52,A15,Calcolo_Punteggi!I$3:I$52),"")</f>
        <v/>
      </c>
    </row>
    <row r="16" spans="1:12" x14ac:dyDescent="0.25">
      <c r="A16" s="18" t="str">
        <f>Gruppi_Omogenei!A16</f>
        <v>GRP-14</v>
      </c>
      <c r="B16" s="18">
        <f>Gruppi_Omogenei!B16</f>
        <v>0</v>
      </c>
      <c r="C16" s="24">
        <f>COUNTIF(Calcolo_Punteggi!B$3:B$52,A16)</f>
        <v>0</v>
      </c>
      <c r="D16" s="26" t="str">
        <f>IFERROR(AVERAGEIF(Calcolo_Punteggi!B$3:B$52,A16,Calcolo_Punteggi!C$3:C$52)/10,"")</f>
        <v/>
      </c>
      <c r="E16" s="26" t="str">
        <f>IFERROR(AVERAGEIF(Calcolo_Punteggi!B$3:B$52,A16,Calcolo_Punteggi!D$3:D$52)/9,"")</f>
        <v/>
      </c>
      <c r="F16" s="26" t="str">
        <f>IFERROR(AVERAGEIF(Calcolo_Punteggi!B$3:B$52,A16,Calcolo_Punteggi!E$3:E$52)/8,"")</f>
        <v/>
      </c>
      <c r="G16" s="26" t="str">
        <f>IFERROR(AVERAGEIF(Calcolo_Punteggi!B$3:B$52,A16,Calcolo_Punteggi!F$3:F$52)/5,"")</f>
        <v/>
      </c>
      <c r="H16" s="26" t="str">
        <f>IFERROR(AVERAGEIF(Calcolo_Punteggi!B$3:B$52,A16,Calcolo_Punteggi!G$3:G$52)/3,"")</f>
        <v/>
      </c>
      <c r="I16" s="26" t="str">
        <f>IFERROR(AVERAGEIF(Calcolo_Punteggi!B$3:B$52,A16,Calcolo_Punteggi!H$3:H$52)/35,"")</f>
        <v/>
      </c>
      <c r="J16" s="26" t="str">
        <f>IFERROR(STDEV(IF(Calcolo_Punteggi!B$3:B$52=A16,Calcolo_Punteggi!H$3:H$52)),"")</f>
        <v/>
      </c>
      <c r="K16" s="26" t="str">
        <f>IFERROR(AVERAGEIF(Calcolo_Punteggi!B$3:B$52,A16,Calcolo_Punteggi!J$3:J$52)/27,"")</f>
        <v/>
      </c>
      <c r="L16" s="26" t="str">
        <f>IFERROR(AVERAGEIF(Calcolo_Punteggi!B$3:B$52,A16,Calcolo_Punteggi!I$3:I$52),"")</f>
        <v/>
      </c>
    </row>
    <row r="17" spans="1:12" x14ac:dyDescent="0.25">
      <c r="A17" s="18" t="str">
        <f>Gruppi_Omogenei!A17</f>
        <v>GRP-15</v>
      </c>
      <c r="B17" s="18">
        <f>Gruppi_Omogenei!B17</f>
        <v>0</v>
      </c>
      <c r="C17" s="24">
        <f>COUNTIF(Calcolo_Punteggi!B$3:B$52,A17)</f>
        <v>0</v>
      </c>
      <c r="D17" s="26" t="str">
        <f>IFERROR(AVERAGEIF(Calcolo_Punteggi!B$3:B$52,A17,Calcolo_Punteggi!C$3:C$52)/10,"")</f>
        <v/>
      </c>
      <c r="E17" s="26" t="str">
        <f>IFERROR(AVERAGEIF(Calcolo_Punteggi!B$3:B$52,A17,Calcolo_Punteggi!D$3:D$52)/9,"")</f>
        <v/>
      </c>
      <c r="F17" s="26" t="str">
        <f>IFERROR(AVERAGEIF(Calcolo_Punteggi!B$3:B$52,A17,Calcolo_Punteggi!E$3:E$52)/8,"")</f>
        <v/>
      </c>
      <c r="G17" s="26" t="str">
        <f>IFERROR(AVERAGEIF(Calcolo_Punteggi!B$3:B$52,A17,Calcolo_Punteggi!F$3:F$52)/5,"")</f>
        <v/>
      </c>
      <c r="H17" s="26" t="str">
        <f>IFERROR(AVERAGEIF(Calcolo_Punteggi!B$3:B$52,A17,Calcolo_Punteggi!G$3:G$52)/3,"")</f>
        <v/>
      </c>
      <c r="I17" s="26" t="str">
        <f>IFERROR(AVERAGEIF(Calcolo_Punteggi!B$3:B$52,A17,Calcolo_Punteggi!H$3:H$52)/35,"")</f>
        <v/>
      </c>
      <c r="J17" s="26" t="str">
        <f>IFERROR(STDEV(IF(Calcolo_Punteggi!B$3:B$52=A17,Calcolo_Punteggi!H$3:H$52)),"")</f>
        <v/>
      </c>
      <c r="K17" s="26" t="str">
        <f>IFERROR(AVERAGEIF(Calcolo_Punteggi!B$3:B$52,A17,Calcolo_Punteggi!J$3:J$52)/27,"")</f>
        <v/>
      </c>
      <c r="L17" s="26" t="str">
        <f>IFERROR(AVERAGEIF(Calcolo_Punteggi!B$3:B$52,A17,Calcolo_Punteggi!I$3:I$52),"")</f>
        <v/>
      </c>
    </row>
    <row r="18" spans="1:12" x14ac:dyDescent="0.25">
      <c r="A18" s="18" t="str">
        <f>Gruppi_Omogenei!A18</f>
        <v>GRP-16</v>
      </c>
      <c r="B18" s="18">
        <f>Gruppi_Omogenei!B18</f>
        <v>0</v>
      </c>
      <c r="C18" s="24">
        <f>COUNTIF(Calcolo_Punteggi!B$3:B$52,A18)</f>
        <v>0</v>
      </c>
      <c r="D18" s="26" t="str">
        <f>IFERROR(AVERAGEIF(Calcolo_Punteggi!B$3:B$52,A18,Calcolo_Punteggi!C$3:C$52)/10,"")</f>
        <v/>
      </c>
      <c r="E18" s="26" t="str">
        <f>IFERROR(AVERAGEIF(Calcolo_Punteggi!B$3:B$52,A18,Calcolo_Punteggi!D$3:D$52)/9,"")</f>
        <v/>
      </c>
      <c r="F18" s="26" t="str">
        <f>IFERROR(AVERAGEIF(Calcolo_Punteggi!B$3:B$52,A18,Calcolo_Punteggi!E$3:E$52)/8,"")</f>
        <v/>
      </c>
      <c r="G18" s="26" t="str">
        <f>IFERROR(AVERAGEIF(Calcolo_Punteggi!B$3:B$52,A18,Calcolo_Punteggi!F$3:F$52)/5,"")</f>
        <v/>
      </c>
      <c r="H18" s="26" t="str">
        <f>IFERROR(AVERAGEIF(Calcolo_Punteggi!B$3:B$52,A18,Calcolo_Punteggi!G$3:G$52)/3,"")</f>
        <v/>
      </c>
      <c r="I18" s="26" t="str">
        <f>IFERROR(AVERAGEIF(Calcolo_Punteggi!B$3:B$52,A18,Calcolo_Punteggi!H$3:H$52)/35,"")</f>
        <v/>
      </c>
      <c r="J18" s="26" t="str">
        <f>IFERROR(STDEV(IF(Calcolo_Punteggi!B$3:B$52=A18,Calcolo_Punteggi!H$3:H$52)),"")</f>
        <v/>
      </c>
      <c r="K18" s="26" t="str">
        <f>IFERROR(AVERAGEIF(Calcolo_Punteggi!B$3:B$52,A18,Calcolo_Punteggi!J$3:J$52)/27,"")</f>
        <v/>
      </c>
      <c r="L18" s="26" t="str">
        <f>IFERROR(AVERAGEIF(Calcolo_Punteggi!B$3:B$52,A18,Calcolo_Punteggi!I$3:I$52),"")</f>
        <v/>
      </c>
    </row>
    <row r="19" spans="1:12" x14ac:dyDescent="0.25">
      <c r="A19" s="18" t="str">
        <f>Gruppi_Omogenei!A19</f>
        <v>GRP-17</v>
      </c>
      <c r="B19" s="18">
        <f>Gruppi_Omogenei!B19</f>
        <v>0</v>
      </c>
      <c r="C19" s="24">
        <f>COUNTIF(Calcolo_Punteggi!B$3:B$52,A19)</f>
        <v>0</v>
      </c>
      <c r="D19" s="26" t="str">
        <f>IFERROR(AVERAGEIF(Calcolo_Punteggi!B$3:B$52,A19,Calcolo_Punteggi!C$3:C$52)/10,"")</f>
        <v/>
      </c>
      <c r="E19" s="26" t="str">
        <f>IFERROR(AVERAGEIF(Calcolo_Punteggi!B$3:B$52,A19,Calcolo_Punteggi!D$3:D$52)/9,"")</f>
        <v/>
      </c>
      <c r="F19" s="26" t="str">
        <f>IFERROR(AVERAGEIF(Calcolo_Punteggi!B$3:B$52,A19,Calcolo_Punteggi!E$3:E$52)/8,"")</f>
        <v/>
      </c>
      <c r="G19" s="26" t="str">
        <f>IFERROR(AVERAGEIF(Calcolo_Punteggi!B$3:B$52,A19,Calcolo_Punteggi!F$3:F$52)/5,"")</f>
        <v/>
      </c>
      <c r="H19" s="26" t="str">
        <f>IFERROR(AVERAGEIF(Calcolo_Punteggi!B$3:B$52,A19,Calcolo_Punteggi!G$3:G$52)/3,"")</f>
        <v/>
      </c>
      <c r="I19" s="26" t="str">
        <f>IFERROR(AVERAGEIF(Calcolo_Punteggi!B$3:B$52,A19,Calcolo_Punteggi!H$3:H$52)/35,"")</f>
        <v/>
      </c>
      <c r="J19" s="26" t="str">
        <f>IFERROR(STDEV(IF(Calcolo_Punteggi!B$3:B$52=A19,Calcolo_Punteggi!H$3:H$52)),"")</f>
        <v/>
      </c>
      <c r="K19" s="26" t="str">
        <f>IFERROR(AVERAGEIF(Calcolo_Punteggi!B$3:B$52,A19,Calcolo_Punteggi!J$3:J$52)/27,"")</f>
        <v/>
      </c>
      <c r="L19" s="26" t="str">
        <f>IFERROR(AVERAGEIF(Calcolo_Punteggi!B$3:B$52,A19,Calcolo_Punteggi!I$3:I$52),"")</f>
        <v/>
      </c>
    </row>
    <row r="20" spans="1:12" x14ac:dyDescent="0.25">
      <c r="A20" s="18" t="str">
        <f>Gruppi_Omogenei!A20</f>
        <v>GRP-18</v>
      </c>
      <c r="B20" s="18">
        <f>Gruppi_Omogenei!B20</f>
        <v>0</v>
      </c>
      <c r="C20" s="24">
        <f>COUNTIF(Calcolo_Punteggi!B$3:B$52,A20)</f>
        <v>0</v>
      </c>
      <c r="D20" s="26" t="str">
        <f>IFERROR(AVERAGEIF(Calcolo_Punteggi!B$3:B$52,A20,Calcolo_Punteggi!C$3:C$52)/10,"")</f>
        <v/>
      </c>
      <c r="E20" s="26" t="str">
        <f>IFERROR(AVERAGEIF(Calcolo_Punteggi!B$3:B$52,A20,Calcolo_Punteggi!D$3:D$52)/9,"")</f>
        <v/>
      </c>
      <c r="F20" s="26" t="str">
        <f>IFERROR(AVERAGEIF(Calcolo_Punteggi!B$3:B$52,A20,Calcolo_Punteggi!E$3:E$52)/8,"")</f>
        <v/>
      </c>
      <c r="G20" s="26" t="str">
        <f>IFERROR(AVERAGEIF(Calcolo_Punteggi!B$3:B$52,A20,Calcolo_Punteggi!F$3:F$52)/5,"")</f>
        <v/>
      </c>
      <c r="H20" s="26" t="str">
        <f>IFERROR(AVERAGEIF(Calcolo_Punteggi!B$3:B$52,A20,Calcolo_Punteggi!G$3:G$52)/3,"")</f>
        <v/>
      </c>
      <c r="I20" s="26" t="str">
        <f>IFERROR(AVERAGEIF(Calcolo_Punteggi!B$3:B$52,A20,Calcolo_Punteggi!H$3:H$52)/35,"")</f>
        <v/>
      </c>
      <c r="J20" s="26" t="str">
        <f>IFERROR(STDEV(IF(Calcolo_Punteggi!B$3:B$52=A20,Calcolo_Punteggi!H$3:H$52)),"")</f>
        <v/>
      </c>
      <c r="K20" s="26" t="str">
        <f>IFERROR(AVERAGEIF(Calcolo_Punteggi!B$3:B$52,A20,Calcolo_Punteggi!J$3:J$52)/27,"")</f>
        <v/>
      </c>
      <c r="L20" s="26" t="str">
        <f>IFERROR(AVERAGEIF(Calcolo_Punteggi!B$3:B$52,A20,Calcolo_Punteggi!I$3:I$52),"")</f>
        <v/>
      </c>
    </row>
    <row r="21" spans="1:12" x14ac:dyDescent="0.25">
      <c r="A21" s="18" t="str">
        <f>Gruppi_Omogenei!A21</f>
        <v>GRP-19</v>
      </c>
      <c r="B21" s="18">
        <f>Gruppi_Omogenei!B21</f>
        <v>0</v>
      </c>
      <c r="C21" s="24">
        <f>COUNTIF(Calcolo_Punteggi!B$3:B$52,A21)</f>
        <v>0</v>
      </c>
      <c r="D21" s="26" t="str">
        <f>IFERROR(AVERAGEIF(Calcolo_Punteggi!B$3:B$52,A21,Calcolo_Punteggi!C$3:C$52)/10,"")</f>
        <v/>
      </c>
      <c r="E21" s="26" t="str">
        <f>IFERROR(AVERAGEIF(Calcolo_Punteggi!B$3:B$52,A21,Calcolo_Punteggi!D$3:D$52)/9,"")</f>
        <v/>
      </c>
      <c r="F21" s="26" t="str">
        <f>IFERROR(AVERAGEIF(Calcolo_Punteggi!B$3:B$52,A21,Calcolo_Punteggi!E$3:E$52)/8,"")</f>
        <v/>
      </c>
      <c r="G21" s="26" t="str">
        <f>IFERROR(AVERAGEIF(Calcolo_Punteggi!B$3:B$52,A21,Calcolo_Punteggi!F$3:F$52)/5,"")</f>
        <v/>
      </c>
      <c r="H21" s="26" t="str">
        <f>IFERROR(AVERAGEIF(Calcolo_Punteggi!B$3:B$52,A21,Calcolo_Punteggi!G$3:G$52)/3,"")</f>
        <v/>
      </c>
      <c r="I21" s="26" t="str">
        <f>IFERROR(AVERAGEIF(Calcolo_Punteggi!B$3:B$52,A21,Calcolo_Punteggi!H$3:H$52)/35,"")</f>
        <v/>
      </c>
      <c r="J21" s="26" t="str">
        <f>IFERROR(STDEV(IF(Calcolo_Punteggi!B$3:B$52=A21,Calcolo_Punteggi!H$3:H$52)),"")</f>
        <v/>
      </c>
      <c r="K21" s="26" t="str">
        <f>IFERROR(AVERAGEIF(Calcolo_Punteggi!B$3:B$52,A21,Calcolo_Punteggi!J$3:J$52)/27,"")</f>
        <v/>
      </c>
      <c r="L21" s="26" t="str">
        <f>IFERROR(AVERAGEIF(Calcolo_Punteggi!B$3:B$52,A21,Calcolo_Punteggi!I$3:I$52),"")</f>
        <v/>
      </c>
    </row>
    <row r="22" spans="1:12" x14ac:dyDescent="0.25">
      <c r="A22" s="18" t="str">
        <f>Gruppi_Omogenei!A22</f>
        <v>GRP-20</v>
      </c>
      <c r="B22" s="18">
        <f>Gruppi_Omogenei!B22</f>
        <v>0</v>
      </c>
      <c r="C22" s="24">
        <f>COUNTIF(Calcolo_Punteggi!B$3:B$52,A22)</f>
        <v>0</v>
      </c>
      <c r="D22" s="26" t="str">
        <f>IFERROR(AVERAGEIF(Calcolo_Punteggi!B$3:B$52,A22,Calcolo_Punteggi!C$3:C$52)/10,"")</f>
        <v/>
      </c>
      <c r="E22" s="26" t="str">
        <f>IFERROR(AVERAGEIF(Calcolo_Punteggi!B$3:B$52,A22,Calcolo_Punteggi!D$3:D$52)/9,"")</f>
        <v/>
      </c>
      <c r="F22" s="26" t="str">
        <f>IFERROR(AVERAGEIF(Calcolo_Punteggi!B$3:B$52,A22,Calcolo_Punteggi!E$3:E$52)/8,"")</f>
        <v/>
      </c>
      <c r="G22" s="26" t="str">
        <f>IFERROR(AVERAGEIF(Calcolo_Punteggi!B$3:B$52,A22,Calcolo_Punteggi!F$3:F$52)/5,"")</f>
        <v/>
      </c>
      <c r="H22" s="26" t="str">
        <f>IFERROR(AVERAGEIF(Calcolo_Punteggi!B$3:B$52,A22,Calcolo_Punteggi!G$3:G$52)/3,"")</f>
        <v/>
      </c>
      <c r="I22" s="26" t="str">
        <f>IFERROR(AVERAGEIF(Calcolo_Punteggi!B$3:B$52,A22,Calcolo_Punteggi!H$3:H$52)/35,"")</f>
        <v/>
      </c>
      <c r="J22" s="26" t="str">
        <f>IFERROR(STDEV(IF(Calcolo_Punteggi!B$3:B$52=A22,Calcolo_Punteggi!H$3:H$52)),"")</f>
        <v/>
      </c>
      <c r="K22" s="26" t="str">
        <f>IFERROR(AVERAGEIF(Calcolo_Punteggi!B$3:B$52,A22,Calcolo_Punteggi!J$3:J$52)/27,"")</f>
        <v/>
      </c>
      <c r="L22" s="26" t="str">
        <f>IFERROR(AVERAGEIF(Calcolo_Punteggi!B$3:B$52,A22,Calcolo_Punteggi!I$3:I$52),"")</f>
        <v/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lessThanOrEqual" id="{00000000-000E-0000-0600-000002000000}">
            <xm:f>Configurazione!$C$21</xm:f>
            <x14:dxf>
              <fill>
                <patternFill>
                  <bgColor rgb="FFC6EFCE"/>
                </patternFill>
              </fill>
            </x14:dxf>
          </x14:cfRule>
          <x14:cfRule type="cellIs" priority="3" operator="between" id="{00000000-000E-0000-0600-000003000000}">
            <xm:f>Configurazione!$C$21+0.001</xm:f>
            <xm:f>Configurazione!$C$22</xm:f>
            <x14:dxf>
              <fill>
                <patternFill>
                  <bgColor rgb="FFFFEB9C"/>
                </patternFill>
              </fill>
            </x14:dxf>
          </x14:cfRule>
          <x14:cfRule type="cellIs" priority="4" operator="greaterThan" id="{00000000-000E-0000-0600-000004000000}">
            <xm:f>Configurazione!$C$22</xm:f>
            <x14:dxf>
              <font>
                <b/>
                <color rgb="FF9C0006"/>
                <name val="Arial"/>
                <charset val="1"/>
              </font>
              <fill>
                <patternFill>
                  <bgColor rgb="FFFFC7CE"/>
                </patternFill>
              </fill>
            </x14:dxf>
          </x14:cfRule>
          <xm:sqref>I3:I22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J22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14" customWidth="1"/>
    <col min="2" max="2" width="25" customWidth="1"/>
    <col min="3" max="3" width="12" customWidth="1"/>
    <col min="4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8" customWidth="1"/>
    <col min="10" max="10" width="25" customWidth="1"/>
  </cols>
  <sheetData>
    <row r="1" spans="1:10" ht="16.149999999999999" customHeight="1" x14ac:dyDescent="0.25">
      <c r="A1" s="39" t="s">
        <v>324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5">
      <c r="A2" s="23" t="s">
        <v>83</v>
      </c>
      <c r="B2" s="23" t="s">
        <v>313</v>
      </c>
      <c r="C2" s="23" t="s">
        <v>325</v>
      </c>
      <c r="D2" s="23" t="s">
        <v>326</v>
      </c>
      <c r="E2" s="23" t="s">
        <v>327</v>
      </c>
      <c r="F2" s="23" t="s">
        <v>328</v>
      </c>
      <c r="G2" s="23" t="s">
        <v>329</v>
      </c>
      <c r="H2" s="23" t="s">
        <v>330</v>
      </c>
      <c r="I2" s="23" t="s">
        <v>331</v>
      </c>
      <c r="J2" s="23" t="s">
        <v>332</v>
      </c>
    </row>
    <row r="3" spans="1:10" x14ac:dyDescent="0.25">
      <c r="A3" s="18" t="str">
        <f>Aggregazione_Gruppi!A3</f>
        <v>GRP-01</v>
      </c>
      <c r="B3" s="18">
        <f>Aggregazione_Gruppi!B3</f>
        <v>0</v>
      </c>
      <c r="C3" s="24">
        <f>Aggregazione_Gruppi!C3</f>
        <v>0</v>
      </c>
      <c r="D3" s="26" t="str">
        <f>Aggregazione_Gruppi!I3</f>
        <v/>
      </c>
      <c r="E3" s="25" t="str">
        <f>IF(Aggregazione_Gruppi!I3="","N/D",IF(Aggregazione_Gruppi!I3&lt;=Configurazione!$C$21,"Trascurabile",IF(Aggregazione_Gruppi!I3&lt;=Configurazione!$C$22,"Moderato","Rilevante")))</f>
        <v>N/D</v>
      </c>
      <c r="F3" s="26" t="str">
        <f>Aggregazione_Gruppi!K3</f>
        <v/>
      </c>
      <c r="G3" s="25" t="str">
        <f>IF(Aggregazione_Gruppi!K3="","N/A",IF(Aggregazione_Gruppi!K3&lt;=Configurazione!$C$26,"Trascurabile",IF(Aggregazione_Gruppi!K3&lt;=Configurazione!$C$27,"Moderato","Rilevante")))</f>
        <v>N/A</v>
      </c>
      <c r="H3" s="24" t="str">
        <f>Aggregazione_Gruppi!L3</f>
        <v/>
      </c>
      <c r="I3" s="25" t="str">
        <f t="shared" ref="I3:I22" si="0">IF(E3="N/D","N/D",IF(OR(E3="Rilevante",G3="Rilevante"),"RILEVANTE",IF(OR(E3="Moderato",G3="Moderato"),"MODERATO","TRASCURABILE")))</f>
        <v>N/D</v>
      </c>
      <c r="J3" s="24" t="str">
        <f t="shared" ref="J3:J22" si="1">IF(I3="RILEVANTE","🔴 AZIONE URGENTE - Entro 30 giorni",IF(I3="MODERATO","🟡 PIANO DI MIGLIORAMENTO - Entro 90 giorni",IF(I3="TRASCURABILE","🟢 MONITORAGGIO PERIODICO","")))</f>
        <v/>
      </c>
    </row>
    <row r="4" spans="1:10" x14ac:dyDescent="0.25">
      <c r="A4" s="18" t="str">
        <f>Aggregazione_Gruppi!A4</f>
        <v>GRP-02</v>
      </c>
      <c r="B4" s="18">
        <f>Aggregazione_Gruppi!B4</f>
        <v>0</v>
      </c>
      <c r="C4" s="24">
        <f>Aggregazione_Gruppi!C4</f>
        <v>0</v>
      </c>
      <c r="D4" s="26" t="str">
        <f>Aggregazione_Gruppi!I4</f>
        <v/>
      </c>
      <c r="E4" s="25" t="str">
        <f>IF(Aggregazione_Gruppi!I4="","N/D",IF(Aggregazione_Gruppi!I4&lt;=Configurazione!$C$21,"Trascurabile",IF(Aggregazione_Gruppi!I4&lt;=Configurazione!$C$22,"Moderato","Rilevante")))</f>
        <v>N/D</v>
      </c>
      <c r="F4" s="26" t="str">
        <f>Aggregazione_Gruppi!K4</f>
        <v/>
      </c>
      <c r="G4" s="25" t="str">
        <f>IF(Aggregazione_Gruppi!K4="","N/A",IF(Aggregazione_Gruppi!K4&lt;=Configurazione!$C$26,"Trascurabile",IF(Aggregazione_Gruppi!K4&lt;=Configurazione!$C$27,"Moderato","Rilevante")))</f>
        <v>N/A</v>
      </c>
      <c r="H4" s="24" t="str">
        <f>Aggregazione_Gruppi!L4</f>
        <v/>
      </c>
      <c r="I4" s="25" t="str">
        <f t="shared" si="0"/>
        <v>N/D</v>
      </c>
      <c r="J4" s="24" t="str">
        <f t="shared" si="1"/>
        <v/>
      </c>
    </row>
    <row r="5" spans="1:10" x14ac:dyDescent="0.25">
      <c r="A5" s="18" t="str">
        <f>Aggregazione_Gruppi!A5</f>
        <v>GRP-03</v>
      </c>
      <c r="B5" s="18">
        <f>Aggregazione_Gruppi!B5</f>
        <v>0</v>
      </c>
      <c r="C5" s="24">
        <f>Aggregazione_Gruppi!C5</f>
        <v>0</v>
      </c>
      <c r="D5" s="26" t="str">
        <f>Aggregazione_Gruppi!I5</f>
        <v/>
      </c>
      <c r="E5" s="25" t="str">
        <f>IF(Aggregazione_Gruppi!I5="","N/D",IF(Aggregazione_Gruppi!I5&lt;=Configurazione!$C$21,"Trascurabile",IF(Aggregazione_Gruppi!I5&lt;=Configurazione!$C$22,"Moderato","Rilevante")))</f>
        <v>N/D</v>
      </c>
      <c r="F5" s="26" t="str">
        <f>Aggregazione_Gruppi!K5</f>
        <v/>
      </c>
      <c r="G5" s="25" t="str">
        <f>IF(Aggregazione_Gruppi!K5="","N/A",IF(Aggregazione_Gruppi!K5&lt;=Configurazione!$C$26,"Trascurabile",IF(Aggregazione_Gruppi!K5&lt;=Configurazione!$C$27,"Moderato","Rilevante")))</f>
        <v>N/A</v>
      </c>
      <c r="H5" s="24" t="str">
        <f>Aggregazione_Gruppi!L5</f>
        <v/>
      </c>
      <c r="I5" s="25" t="str">
        <f t="shared" si="0"/>
        <v>N/D</v>
      </c>
      <c r="J5" s="24" t="str">
        <f t="shared" si="1"/>
        <v/>
      </c>
    </row>
    <row r="6" spans="1:10" x14ac:dyDescent="0.25">
      <c r="A6" s="18" t="str">
        <f>Aggregazione_Gruppi!A6</f>
        <v>GRP-04</v>
      </c>
      <c r="B6" s="18">
        <f>Aggregazione_Gruppi!B6</f>
        <v>0</v>
      </c>
      <c r="C6" s="24">
        <f>Aggregazione_Gruppi!C6</f>
        <v>0</v>
      </c>
      <c r="D6" s="26" t="str">
        <f>Aggregazione_Gruppi!I6</f>
        <v/>
      </c>
      <c r="E6" s="25" t="str">
        <f>IF(Aggregazione_Gruppi!I6="","N/D",IF(Aggregazione_Gruppi!I6&lt;=Configurazione!$C$21,"Trascurabile",IF(Aggregazione_Gruppi!I6&lt;=Configurazione!$C$22,"Moderato","Rilevante")))</f>
        <v>N/D</v>
      </c>
      <c r="F6" s="26" t="str">
        <f>Aggregazione_Gruppi!K6</f>
        <v/>
      </c>
      <c r="G6" s="25" t="str">
        <f>IF(Aggregazione_Gruppi!K6="","N/A",IF(Aggregazione_Gruppi!K6&lt;=Configurazione!$C$26,"Trascurabile",IF(Aggregazione_Gruppi!K6&lt;=Configurazione!$C$27,"Moderato","Rilevante")))</f>
        <v>N/A</v>
      </c>
      <c r="H6" s="24" t="str">
        <f>Aggregazione_Gruppi!L6</f>
        <v/>
      </c>
      <c r="I6" s="25" t="str">
        <f t="shared" si="0"/>
        <v>N/D</v>
      </c>
      <c r="J6" s="24" t="str">
        <f t="shared" si="1"/>
        <v/>
      </c>
    </row>
    <row r="7" spans="1:10" x14ac:dyDescent="0.25">
      <c r="A7" s="18" t="str">
        <f>Aggregazione_Gruppi!A7</f>
        <v>GRP-05</v>
      </c>
      <c r="B7" s="18">
        <f>Aggregazione_Gruppi!B7</f>
        <v>0</v>
      </c>
      <c r="C7" s="24">
        <f>Aggregazione_Gruppi!C7</f>
        <v>0</v>
      </c>
      <c r="D7" s="26" t="str">
        <f>Aggregazione_Gruppi!I7</f>
        <v/>
      </c>
      <c r="E7" s="25" t="str">
        <f>IF(Aggregazione_Gruppi!I7="","N/D",IF(Aggregazione_Gruppi!I7&lt;=Configurazione!$C$21,"Trascurabile",IF(Aggregazione_Gruppi!I7&lt;=Configurazione!$C$22,"Moderato","Rilevante")))</f>
        <v>N/D</v>
      </c>
      <c r="F7" s="26" t="str">
        <f>Aggregazione_Gruppi!K7</f>
        <v/>
      </c>
      <c r="G7" s="25" t="str">
        <f>IF(Aggregazione_Gruppi!K7="","N/A",IF(Aggregazione_Gruppi!K7&lt;=Configurazione!$C$26,"Trascurabile",IF(Aggregazione_Gruppi!K7&lt;=Configurazione!$C$27,"Moderato","Rilevante")))</f>
        <v>N/A</v>
      </c>
      <c r="H7" s="24" t="str">
        <f>Aggregazione_Gruppi!L7</f>
        <v/>
      </c>
      <c r="I7" s="25" t="str">
        <f t="shared" si="0"/>
        <v>N/D</v>
      </c>
      <c r="J7" s="24" t="str">
        <f t="shared" si="1"/>
        <v/>
      </c>
    </row>
    <row r="8" spans="1:10" x14ac:dyDescent="0.25">
      <c r="A8" s="18" t="str">
        <f>Aggregazione_Gruppi!A8</f>
        <v>GRP-06</v>
      </c>
      <c r="B8" s="18">
        <f>Aggregazione_Gruppi!B8</f>
        <v>0</v>
      </c>
      <c r="C8" s="24">
        <f>Aggregazione_Gruppi!C8</f>
        <v>0</v>
      </c>
      <c r="D8" s="26" t="str">
        <f>Aggregazione_Gruppi!I8</f>
        <v/>
      </c>
      <c r="E8" s="25" t="str">
        <f>IF(Aggregazione_Gruppi!I8="","N/D",IF(Aggregazione_Gruppi!I8&lt;=Configurazione!$C$21,"Trascurabile",IF(Aggregazione_Gruppi!I8&lt;=Configurazione!$C$22,"Moderato","Rilevante")))</f>
        <v>N/D</v>
      </c>
      <c r="F8" s="26" t="str">
        <f>Aggregazione_Gruppi!K8</f>
        <v/>
      </c>
      <c r="G8" s="25" t="str">
        <f>IF(Aggregazione_Gruppi!K8="","N/A",IF(Aggregazione_Gruppi!K8&lt;=Configurazione!$C$26,"Trascurabile",IF(Aggregazione_Gruppi!K8&lt;=Configurazione!$C$27,"Moderato","Rilevante")))</f>
        <v>N/A</v>
      </c>
      <c r="H8" s="24" t="str">
        <f>Aggregazione_Gruppi!L8</f>
        <v/>
      </c>
      <c r="I8" s="25" t="str">
        <f t="shared" si="0"/>
        <v>N/D</v>
      </c>
      <c r="J8" s="24" t="str">
        <f t="shared" si="1"/>
        <v/>
      </c>
    </row>
    <row r="9" spans="1:10" x14ac:dyDescent="0.25">
      <c r="A9" s="18" t="str">
        <f>Aggregazione_Gruppi!A9</f>
        <v>GRP-07</v>
      </c>
      <c r="B9" s="18">
        <f>Aggregazione_Gruppi!B9</f>
        <v>0</v>
      </c>
      <c r="C9" s="24">
        <f>Aggregazione_Gruppi!C9</f>
        <v>0</v>
      </c>
      <c r="D9" s="26" t="str">
        <f>Aggregazione_Gruppi!I9</f>
        <v/>
      </c>
      <c r="E9" s="25" t="str">
        <f>IF(Aggregazione_Gruppi!I9="","N/D",IF(Aggregazione_Gruppi!I9&lt;=Configurazione!$C$21,"Trascurabile",IF(Aggregazione_Gruppi!I9&lt;=Configurazione!$C$22,"Moderato","Rilevante")))</f>
        <v>N/D</v>
      </c>
      <c r="F9" s="26" t="str">
        <f>Aggregazione_Gruppi!K9</f>
        <v/>
      </c>
      <c r="G9" s="25" t="str">
        <f>IF(Aggregazione_Gruppi!K9="","N/A",IF(Aggregazione_Gruppi!K9&lt;=Configurazione!$C$26,"Trascurabile",IF(Aggregazione_Gruppi!K9&lt;=Configurazione!$C$27,"Moderato","Rilevante")))</f>
        <v>N/A</v>
      </c>
      <c r="H9" s="24" t="str">
        <f>Aggregazione_Gruppi!L9</f>
        <v/>
      </c>
      <c r="I9" s="25" t="str">
        <f t="shared" si="0"/>
        <v>N/D</v>
      </c>
      <c r="J9" s="24" t="str">
        <f t="shared" si="1"/>
        <v/>
      </c>
    </row>
    <row r="10" spans="1:10" x14ac:dyDescent="0.25">
      <c r="A10" s="18" t="str">
        <f>Aggregazione_Gruppi!A10</f>
        <v>GRP-08</v>
      </c>
      <c r="B10" s="18">
        <f>Aggregazione_Gruppi!B10</f>
        <v>0</v>
      </c>
      <c r="C10" s="24">
        <f>Aggregazione_Gruppi!C10</f>
        <v>0</v>
      </c>
      <c r="D10" s="26" t="str">
        <f>Aggregazione_Gruppi!I10</f>
        <v/>
      </c>
      <c r="E10" s="25" t="str">
        <f>IF(Aggregazione_Gruppi!I10="","N/D",IF(Aggregazione_Gruppi!I10&lt;=Configurazione!$C$21,"Trascurabile",IF(Aggregazione_Gruppi!I10&lt;=Configurazione!$C$22,"Moderato","Rilevante")))</f>
        <v>N/D</v>
      </c>
      <c r="F10" s="26" t="str">
        <f>Aggregazione_Gruppi!K10</f>
        <v/>
      </c>
      <c r="G10" s="25" t="str">
        <f>IF(Aggregazione_Gruppi!K10="","N/A",IF(Aggregazione_Gruppi!K10&lt;=Configurazione!$C$26,"Trascurabile",IF(Aggregazione_Gruppi!K10&lt;=Configurazione!$C$27,"Moderato","Rilevante")))</f>
        <v>N/A</v>
      </c>
      <c r="H10" s="24" t="str">
        <f>Aggregazione_Gruppi!L10</f>
        <v/>
      </c>
      <c r="I10" s="25" t="str">
        <f t="shared" si="0"/>
        <v>N/D</v>
      </c>
      <c r="J10" s="24" t="str">
        <f t="shared" si="1"/>
        <v/>
      </c>
    </row>
    <row r="11" spans="1:10" x14ac:dyDescent="0.25">
      <c r="A11" s="18" t="str">
        <f>Aggregazione_Gruppi!A11</f>
        <v>GRP-09</v>
      </c>
      <c r="B11" s="18">
        <f>Aggregazione_Gruppi!B11</f>
        <v>0</v>
      </c>
      <c r="C11" s="24">
        <f>Aggregazione_Gruppi!C11</f>
        <v>0</v>
      </c>
      <c r="D11" s="26" t="str">
        <f>Aggregazione_Gruppi!I11</f>
        <v/>
      </c>
      <c r="E11" s="25" t="str">
        <f>IF(Aggregazione_Gruppi!I11="","N/D",IF(Aggregazione_Gruppi!I11&lt;=Configurazione!$C$21,"Trascurabile",IF(Aggregazione_Gruppi!I11&lt;=Configurazione!$C$22,"Moderato","Rilevante")))</f>
        <v>N/D</v>
      </c>
      <c r="F11" s="26" t="str">
        <f>Aggregazione_Gruppi!K11</f>
        <v/>
      </c>
      <c r="G11" s="25" t="str">
        <f>IF(Aggregazione_Gruppi!K11="","N/A",IF(Aggregazione_Gruppi!K11&lt;=Configurazione!$C$26,"Trascurabile",IF(Aggregazione_Gruppi!K11&lt;=Configurazione!$C$27,"Moderato","Rilevante")))</f>
        <v>N/A</v>
      </c>
      <c r="H11" s="24" t="str">
        <f>Aggregazione_Gruppi!L11</f>
        <v/>
      </c>
      <c r="I11" s="25" t="str">
        <f t="shared" si="0"/>
        <v>N/D</v>
      </c>
      <c r="J11" s="24" t="str">
        <f t="shared" si="1"/>
        <v/>
      </c>
    </row>
    <row r="12" spans="1:10" x14ac:dyDescent="0.25">
      <c r="A12" s="18" t="str">
        <f>Aggregazione_Gruppi!A12</f>
        <v>GRP-10</v>
      </c>
      <c r="B12" s="18">
        <f>Aggregazione_Gruppi!B12</f>
        <v>0</v>
      </c>
      <c r="C12" s="24">
        <f>Aggregazione_Gruppi!C12</f>
        <v>0</v>
      </c>
      <c r="D12" s="26" t="str">
        <f>Aggregazione_Gruppi!I12</f>
        <v/>
      </c>
      <c r="E12" s="25" t="str">
        <f>IF(Aggregazione_Gruppi!I12="","N/D",IF(Aggregazione_Gruppi!I12&lt;=Configurazione!$C$21,"Trascurabile",IF(Aggregazione_Gruppi!I12&lt;=Configurazione!$C$22,"Moderato","Rilevante")))</f>
        <v>N/D</v>
      </c>
      <c r="F12" s="26" t="str">
        <f>Aggregazione_Gruppi!K12</f>
        <v/>
      </c>
      <c r="G12" s="25" t="str">
        <f>IF(Aggregazione_Gruppi!K12="","N/A",IF(Aggregazione_Gruppi!K12&lt;=Configurazione!$C$26,"Trascurabile",IF(Aggregazione_Gruppi!K12&lt;=Configurazione!$C$27,"Moderato","Rilevante")))</f>
        <v>N/A</v>
      </c>
      <c r="H12" s="24" t="str">
        <f>Aggregazione_Gruppi!L12</f>
        <v/>
      </c>
      <c r="I12" s="25" t="str">
        <f t="shared" si="0"/>
        <v>N/D</v>
      </c>
      <c r="J12" s="24" t="str">
        <f t="shared" si="1"/>
        <v/>
      </c>
    </row>
    <row r="13" spans="1:10" x14ac:dyDescent="0.25">
      <c r="A13" s="18" t="str">
        <f>Aggregazione_Gruppi!A13</f>
        <v>GRP-11</v>
      </c>
      <c r="B13" s="18">
        <f>Aggregazione_Gruppi!B13</f>
        <v>0</v>
      </c>
      <c r="C13" s="24">
        <f>Aggregazione_Gruppi!C13</f>
        <v>0</v>
      </c>
      <c r="D13" s="26" t="str">
        <f>Aggregazione_Gruppi!I13</f>
        <v/>
      </c>
      <c r="E13" s="25" t="str">
        <f>IF(Aggregazione_Gruppi!I13="","N/D",IF(Aggregazione_Gruppi!I13&lt;=Configurazione!$C$21,"Trascurabile",IF(Aggregazione_Gruppi!I13&lt;=Configurazione!$C$22,"Moderato","Rilevante")))</f>
        <v>N/D</v>
      </c>
      <c r="F13" s="26" t="str">
        <f>Aggregazione_Gruppi!K13</f>
        <v/>
      </c>
      <c r="G13" s="25" t="str">
        <f>IF(Aggregazione_Gruppi!K13="","N/A",IF(Aggregazione_Gruppi!K13&lt;=Configurazione!$C$26,"Trascurabile",IF(Aggregazione_Gruppi!K13&lt;=Configurazione!$C$27,"Moderato","Rilevante")))</f>
        <v>N/A</v>
      </c>
      <c r="H13" s="24" t="str">
        <f>Aggregazione_Gruppi!L13</f>
        <v/>
      </c>
      <c r="I13" s="25" t="str">
        <f t="shared" si="0"/>
        <v>N/D</v>
      </c>
      <c r="J13" s="24" t="str">
        <f t="shared" si="1"/>
        <v/>
      </c>
    </row>
    <row r="14" spans="1:10" x14ac:dyDescent="0.25">
      <c r="A14" s="18" t="str">
        <f>Aggregazione_Gruppi!A14</f>
        <v>GRP-12</v>
      </c>
      <c r="B14" s="18">
        <f>Aggregazione_Gruppi!B14</f>
        <v>0</v>
      </c>
      <c r="C14" s="24">
        <f>Aggregazione_Gruppi!C14</f>
        <v>0</v>
      </c>
      <c r="D14" s="26" t="str">
        <f>Aggregazione_Gruppi!I14</f>
        <v/>
      </c>
      <c r="E14" s="25" t="str">
        <f>IF(Aggregazione_Gruppi!I14="","N/D",IF(Aggregazione_Gruppi!I14&lt;=Configurazione!$C$21,"Trascurabile",IF(Aggregazione_Gruppi!I14&lt;=Configurazione!$C$22,"Moderato","Rilevante")))</f>
        <v>N/D</v>
      </c>
      <c r="F14" s="26" t="str">
        <f>Aggregazione_Gruppi!K14</f>
        <v/>
      </c>
      <c r="G14" s="25" t="str">
        <f>IF(Aggregazione_Gruppi!K14="","N/A",IF(Aggregazione_Gruppi!K14&lt;=Configurazione!$C$26,"Trascurabile",IF(Aggregazione_Gruppi!K14&lt;=Configurazione!$C$27,"Moderato","Rilevante")))</f>
        <v>N/A</v>
      </c>
      <c r="H14" s="24" t="str">
        <f>Aggregazione_Gruppi!L14</f>
        <v/>
      </c>
      <c r="I14" s="25" t="str">
        <f t="shared" si="0"/>
        <v>N/D</v>
      </c>
      <c r="J14" s="24" t="str">
        <f t="shared" si="1"/>
        <v/>
      </c>
    </row>
    <row r="15" spans="1:10" x14ac:dyDescent="0.25">
      <c r="A15" s="18" t="str">
        <f>Aggregazione_Gruppi!A15</f>
        <v>GRP-13</v>
      </c>
      <c r="B15" s="18">
        <f>Aggregazione_Gruppi!B15</f>
        <v>0</v>
      </c>
      <c r="C15" s="24">
        <f>Aggregazione_Gruppi!C15</f>
        <v>0</v>
      </c>
      <c r="D15" s="26" t="str">
        <f>Aggregazione_Gruppi!I15</f>
        <v/>
      </c>
      <c r="E15" s="25" t="str">
        <f>IF(Aggregazione_Gruppi!I15="","N/D",IF(Aggregazione_Gruppi!I15&lt;=Configurazione!$C$21,"Trascurabile",IF(Aggregazione_Gruppi!I15&lt;=Configurazione!$C$22,"Moderato","Rilevante")))</f>
        <v>N/D</v>
      </c>
      <c r="F15" s="26" t="str">
        <f>Aggregazione_Gruppi!K15</f>
        <v/>
      </c>
      <c r="G15" s="25" t="str">
        <f>IF(Aggregazione_Gruppi!K15="","N/A",IF(Aggregazione_Gruppi!K15&lt;=Configurazione!$C$26,"Trascurabile",IF(Aggregazione_Gruppi!K15&lt;=Configurazione!$C$27,"Moderato","Rilevante")))</f>
        <v>N/A</v>
      </c>
      <c r="H15" s="24" t="str">
        <f>Aggregazione_Gruppi!L15</f>
        <v/>
      </c>
      <c r="I15" s="25" t="str">
        <f t="shared" si="0"/>
        <v>N/D</v>
      </c>
      <c r="J15" s="24" t="str">
        <f t="shared" si="1"/>
        <v/>
      </c>
    </row>
    <row r="16" spans="1:10" x14ac:dyDescent="0.25">
      <c r="A16" s="18" t="str">
        <f>Aggregazione_Gruppi!A16</f>
        <v>GRP-14</v>
      </c>
      <c r="B16" s="18">
        <f>Aggregazione_Gruppi!B16</f>
        <v>0</v>
      </c>
      <c r="C16" s="24">
        <f>Aggregazione_Gruppi!C16</f>
        <v>0</v>
      </c>
      <c r="D16" s="26" t="str">
        <f>Aggregazione_Gruppi!I16</f>
        <v/>
      </c>
      <c r="E16" s="25" t="str">
        <f>IF(Aggregazione_Gruppi!I16="","N/D",IF(Aggregazione_Gruppi!I16&lt;=Configurazione!$C$21,"Trascurabile",IF(Aggregazione_Gruppi!I16&lt;=Configurazione!$C$22,"Moderato","Rilevante")))</f>
        <v>N/D</v>
      </c>
      <c r="F16" s="26" t="str">
        <f>Aggregazione_Gruppi!K16</f>
        <v/>
      </c>
      <c r="G16" s="25" t="str">
        <f>IF(Aggregazione_Gruppi!K16="","N/A",IF(Aggregazione_Gruppi!K16&lt;=Configurazione!$C$26,"Trascurabile",IF(Aggregazione_Gruppi!K16&lt;=Configurazione!$C$27,"Moderato","Rilevante")))</f>
        <v>N/A</v>
      </c>
      <c r="H16" s="24" t="str">
        <f>Aggregazione_Gruppi!L16</f>
        <v/>
      </c>
      <c r="I16" s="25" t="str">
        <f t="shared" si="0"/>
        <v>N/D</v>
      </c>
      <c r="J16" s="24" t="str">
        <f t="shared" si="1"/>
        <v/>
      </c>
    </row>
    <row r="17" spans="1:10" x14ac:dyDescent="0.25">
      <c r="A17" s="18" t="str">
        <f>Aggregazione_Gruppi!A17</f>
        <v>GRP-15</v>
      </c>
      <c r="B17" s="18">
        <f>Aggregazione_Gruppi!B17</f>
        <v>0</v>
      </c>
      <c r="C17" s="24">
        <f>Aggregazione_Gruppi!C17</f>
        <v>0</v>
      </c>
      <c r="D17" s="26" t="str">
        <f>Aggregazione_Gruppi!I17</f>
        <v/>
      </c>
      <c r="E17" s="25" t="str">
        <f>IF(Aggregazione_Gruppi!I17="","N/D",IF(Aggregazione_Gruppi!I17&lt;=Configurazione!$C$21,"Trascurabile",IF(Aggregazione_Gruppi!I17&lt;=Configurazione!$C$22,"Moderato","Rilevante")))</f>
        <v>N/D</v>
      </c>
      <c r="F17" s="26" t="str">
        <f>Aggregazione_Gruppi!K17</f>
        <v/>
      </c>
      <c r="G17" s="25" t="str">
        <f>IF(Aggregazione_Gruppi!K17="","N/A",IF(Aggregazione_Gruppi!K17&lt;=Configurazione!$C$26,"Trascurabile",IF(Aggregazione_Gruppi!K17&lt;=Configurazione!$C$27,"Moderato","Rilevante")))</f>
        <v>N/A</v>
      </c>
      <c r="H17" s="24" t="str">
        <f>Aggregazione_Gruppi!L17</f>
        <v/>
      </c>
      <c r="I17" s="25" t="str">
        <f t="shared" si="0"/>
        <v>N/D</v>
      </c>
      <c r="J17" s="24" t="str">
        <f t="shared" si="1"/>
        <v/>
      </c>
    </row>
    <row r="18" spans="1:10" x14ac:dyDescent="0.25">
      <c r="A18" s="18" t="str">
        <f>Aggregazione_Gruppi!A18</f>
        <v>GRP-16</v>
      </c>
      <c r="B18" s="18">
        <f>Aggregazione_Gruppi!B18</f>
        <v>0</v>
      </c>
      <c r="C18" s="24">
        <f>Aggregazione_Gruppi!C18</f>
        <v>0</v>
      </c>
      <c r="D18" s="26" t="str">
        <f>Aggregazione_Gruppi!I18</f>
        <v/>
      </c>
      <c r="E18" s="25" t="str">
        <f>IF(Aggregazione_Gruppi!I18="","N/D",IF(Aggregazione_Gruppi!I18&lt;=Configurazione!$C$21,"Trascurabile",IF(Aggregazione_Gruppi!I18&lt;=Configurazione!$C$22,"Moderato","Rilevante")))</f>
        <v>N/D</v>
      </c>
      <c r="F18" s="26" t="str">
        <f>Aggregazione_Gruppi!K18</f>
        <v/>
      </c>
      <c r="G18" s="25" t="str">
        <f>IF(Aggregazione_Gruppi!K18="","N/A",IF(Aggregazione_Gruppi!K18&lt;=Configurazione!$C$26,"Trascurabile",IF(Aggregazione_Gruppi!K18&lt;=Configurazione!$C$27,"Moderato","Rilevante")))</f>
        <v>N/A</v>
      </c>
      <c r="H18" s="24" t="str">
        <f>Aggregazione_Gruppi!L18</f>
        <v/>
      </c>
      <c r="I18" s="25" t="str">
        <f t="shared" si="0"/>
        <v>N/D</v>
      </c>
      <c r="J18" s="24" t="str">
        <f t="shared" si="1"/>
        <v/>
      </c>
    </row>
    <row r="19" spans="1:10" x14ac:dyDescent="0.25">
      <c r="A19" s="18" t="str">
        <f>Aggregazione_Gruppi!A19</f>
        <v>GRP-17</v>
      </c>
      <c r="B19" s="18">
        <f>Aggregazione_Gruppi!B19</f>
        <v>0</v>
      </c>
      <c r="C19" s="24">
        <f>Aggregazione_Gruppi!C19</f>
        <v>0</v>
      </c>
      <c r="D19" s="26" t="str">
        <f>Aggregazione_Gruppi!I19</f>
        <v/>
      </c>
      <c r="E19" s="25" t="str">
        <f>IF(Aggregazione_Gruppi!I19="","N/D",IF(Aggregazione_Gruppi!I19&lt;=Configurazione!$C$21,"Trascurabile",IF(Aggregazione_Gruppi!I19&lt;=Configurazione!$C$22,"Moderato","Rilevante")))</f>
        <v>N/D</v>
      </c>
      <c r="F19" s="26" t="str">
        <f>Aggregazione_Gruppi!K19</f>
        <v/>
      </c>
      <c r="G19" s="25" t="str">
        <f>IF(Aggregazione_Gruppi!K19="","N/A",IF(Aggregazione_Gruppi!K19&lt;=Configurazione!$C$26,"Trascurabile",IF(Aggregazione_Gruppi!K19&lt;=Configurazione!$C$27,"Moderato","Rilevante")))</f>
        <v>N/A</v>
      </c>
      <c r="H19" s="24" t="str">
        <f>Aggregazione_Gruppi!L19</f>
        <v/>
      </c>
      <c r="I19" s="25" t="str">
        <f t="shared" si="0"/>
        <v>N/D</v>
      </c>
      <c r="J19" s="24" t="str">
        <f t="shared" si="1"/>
        <v/>
      </c>
    </row>
    <row r="20" spans="1:10" x14ac:dyDescent="0.25">
      <c r="A20" s="18" t="str">
        <f>Aggregazione_Gruppi!A20</f>
        <v>GRP-18</v>
      </c>
      <c r="B20" s="18">
        <f>Aggregazione_Gruppi!B20</f>
        <v>0</v>
      </c>
      <c r="C20" s="24">
        <f>Aggregazione_Gruppi!C20</f>
        <v>0</v>
      </c>
      <c r="D20" s="26" t="str">
        <f>Aggregazione_Gruppi!I20</f>
        <v/>
      </c>
      <c r="E20" s="25" t="str">
        <f>IF(Aggregazione_Gruppi!I20="","N/D",IF(Aggregazione_Gruppi!I20&lt;=Configurazione!$C$21,"Trascurabile",IF(Aggregazione_Gruppi!I20&lt;=Configurazione!$C$22,"Moderato","Rilevante")))</f>
        <v>N/D</v>
      </c>
      <c r="F20" s="26" t="str">
        <f>Aggregazione_Gruppi!K20</f>
        <v/>
      </c>
      <c r="G20" s="25" t="str">
        <f>IF(Aggregazione_Gruppi!K20="","N/A",IF(Aggregazione_Gruppi!K20&lt;=Configurazione!$C$26,"Trascurabile",IF(Aggregazione_Gruppi!K20&lt;=Configurazione!$C$27,"Moderato","Rilevante")))</f>
        <v>N/A</v>
      </c>
      <c r="H20" s="24" t="str">
        <f>Aggregazione_Gruppi!L20</f>
        <v/>
      </c>
      <c r="I20" s="25" t="str">
        <f t="shared" si="0"/>
        <v>N/D</v>
      </c>
      <c r="J20" s="24" t="str">
        <f t="shared" si="1"/>
        <v/>
      </c>
    </row>
    <row r="21" spans="1:10" x14ac:dyDescent="0.25">
      <c r="A21" s="18" t="str">
        <f>Aggregazione_Gruppi!A21</f>
        <v>GRP-19</v>
      </c>
      <c r="B21" s="18">
        <f>Aggregazione_Gruppi!B21</f>
        <v>0</v>
      </c>
      <c r="C21" s="24">
        <f>Aggregazione_Gruppi!C21</f>
        <v>0</v>
      </c>
      <c r="D21" s="26" t="str">
        <f>Aggregazione_Gruppi!I21</f>
        <v/>
      </c>
      <c r="E21" s="25" t="str">
        <f>IF(Aggregazione_Gruppi!I21="","N/D",IF(Aggregazione_Gruppi!I21&lt;=Configurazione!$C$21,"Trascurabile",IF(Aggregazione_Gruppi!I21&lt;=Configurazione!$C$22,"Moderato","Rilevante")))</f>
        <v>N/D</v>
      </c>
      <c r="F21" s="26" t="str">
        <f>Aggregazione_Gruppi!K21</f>
        <v/>
      </c>
      <c r="G21" s="25" t="str">
        <f>IF(Aggregazione_Gruppi!K21="","N/A",IF(Aggregazione_Gruppi!K21&lt;=Configurazione!$C$26,"Trascurabile",IF(Aggregazione_Gruppi!K21&lt;=Configurazione!$C$27,"Moderato","Rilevante")))</f>
        <v>N/A</v>
      </c>
      <c r="H21" s="24" t="str">
        <f>Aggregazione_Gruppi!L21</f>
        <v/>
      </c>
      <c r="I21" s="25" t="str">
        <f t="shared" si="0"/>
        <v>N/D</v>
      </c>
      <c r="J21" s="24" t="str">
        <f t="shared" si="1"/>
        <v/>
      </c>
    </row>
    <row r="22" spans="1:10" x14ac:dyDescent="0.25">
      <c r="A22" s="18" t="str">
        <f>Aggregazione_Gruppi!A22</f>
        <v>GRP-20</v>
      </c>
      <c r="B22" s="18">
        <f>Aggregazione_Gruppi!B22</f>
        <v>0</v>
      </c>
      <c r="C22" s="24">
        <f>Aggregazione_Gruppi!C22</f>
        <v>0</v>
      </c>
      <c r="D22" s="26" t="str">
        <f>Aggregazione_Gruppi!I22</f>
        <v/>
      </c>
      <c r="E22" s="25" t="str">
        <f>IF(Aggregazione_Gruppi!I22="","N/D",IF(Aggregazione_Gruppi!I22&lt;=Configurazione!$C$21,"Trascurabile",IF(Aggregazione_Gruppi!I22&lt;=Configurazione!$C$22,"Moderato","Rilevante")))</f>
        <v>N/D</v>
      </c>
      <c r="F22" s="26" t="str">
        <f>Aggregazione_Gruppi!K22</f>
        <v/>
      </c>
      <c r="G22" s="25" t="str">
        <f>IF(Aggregazione_Gruppi!K22="","N/A",IF(Aggregazione_Gruppi!K22&lt;=Configurazione!$C$26,"Trascurabile",IF(Aggregazione_Gruppi!K22&lt;=Configurazione!$C$27,"Moderato","Rilevante")))</f>
        <v>N/A</v>
      </c>
      <c r="H22" s="24" t="str">
        <f>Aggregazione_Gruppi!L22</f>
        <v/>
      </c>
      <c r="I22" s="25" t="str">
        <f t="shared" si="0"/>
        <v>N/D</v>
      </c>
      <c r="J22" s="24" t="str">
        <f t="shared" si="1"/>
        <v/>
      </c>
    </row>
  </sheetData>
  <mergeCells count="1">
    <mergeCell ref="A1:J1"/>
  </mergeCells>
  <conditionalFormatting sqref="E3:E22">
    <cfRule type="cellIs" dxfId="29" priority="2" operator="equal">
      <formula>"Trascurabile"</formula>
    </cfRule>
    <cfRule type="cellIs" dxfId="28" priority="3" operator="equal">
      <formula>"TRASCURABILE"</formula>
    </cfRule>
    <cfRule type="cellIs" dxfId="27" priority="4" operator="equal">
      <formula>"Moderato"</formula>
    </cfRule>
    <cfRule type="cellIs" dxfId="26" priority="5" operator="equal">
      <formula>"MODERATO"</formula>
    </cfRule>
    <cfRule type="cellIs" dxfId="25" priority="6" operator="equal">
      <formula>"Rilevante"</formula>
    </cfRule>
    <cfRule type="cellIs" dxfId="24" priority="7" operator="equal">
      <formula>"RILEVANTE"</formula>
    </cfRule>
  </conditionalFormatting>
  <conditionalFormatting sqref="G3:G22">
    <cfRule type="cellIs" dxfId="23" priority="8" operator="equal">
      <formula>"Trascurabile"</formula>
    </cfRule>
    <cfRule type="cellIs" dxfId="22" priority="9" operator="equal">
      <formula>"TRASCURABILE"</formula>
    </cfRule>
    <cfRule type="cellIs" dxfId="21" priority="10" operator="equal">
      <formula>"Moderato"</formula>
    </cfRule>
    <cfRule type="cellIs" dxfId="20" priority="11" operator="equal">
      <formula>"MODERATO"</formula>
    </cfRule>
    <cfRule type="cellIs" dxfId="19" priority="12" operator="equal">
      <formula>"Rilevante"</formula>
    </cfRule>
    <cfRule type="cellIs" dxfId="18" priority="13" operator="equal">
      <formula>"RILEVANTE"</formula>
    </cfRule>
  </conditionalFormatting>
  <conditionalFormatting sqref="I3:I22">
    <cfRule type="cellIs" dxfId="17" priority="14" operator="equal">
      <formula>"Trascurabile"</formula>
    </cfRule>
    <cfRule type="cellIs" dxfId="16" priority="15" operator="equal">
      <formula>"TRASCURABILE"</formula>
    </cfRule>
    <cfRule type="cellIs" dxfId="15" priority="16" operator="equal">
      <formula>"Moderato"</formula>
    </cfRule>
    <cfRule type="cellIs" dxfId="14" priority="17" operator="equal">
      <formula>"MODERATO"</formula>
    </cfRule>
    <cfRule type="cellIs" dxfId="13" priority="18" operator="equal">
      <formula>"Rilevante"</formula>
    </cfRule>
    <cfRule type="cellIs" dxfId="12" priority="19" operator="equal">
      <formula>"RILEVANTE"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L33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2" customWidth="1"/>
    <col min="2" max="2" width="22" customWidth="1"/>
    <col min="3" max="3" width="8" customWidth="1"/>
    <col min="4" max="4" width="12" customWidth="1"/>
    <col min="5" max="5" width="14" customWidth="1"/>
    <col min="6" max="6" width="12" customWidth="1"/>
    <col min="7" max="8" width="14" customWidth="1"/>
    <col min="9" max="9" width="30" customWidth="1"/>
    <col min="10" max="10" width="35" customWidth="1"/>
  </cols>
  <sheetData>
    <row r="1" spans="1:12" ht="17.45" customHeight="1" x14ac:dyDescent="0.25">
      <c r="A1" s="38" t="s">
        <v>333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15" customHeight="1" x14ac:dyDescent="0.25">
      <c r="A2" s="42" t="s">
        <v>57</v>
      </c>
      <c r="B2" s="42"/>
      <c r="C2" s="42" t="s">
        <v>65</v>
      </c>
      <c r="D2" s="42"/>
      <c r="E2" s="42"/>
      <c r="F2" s="42"/>
    </row>
    <row r="3" spans="1:12" x14ac:dyDescent="0.25">
      <c r="A3" s="27" t="s">
        <v>334</v>
      </c>
      <c r="B3" s="28">
        <f>Configurazione!C3</f>
        <v>0</v>
      </c>
    </row>
    <row r="4" spans="1:12" x14ac:dyDescent="0.25">
      <c r="A4" s="27" t="s">
        <v>335</v>
      </c>
      <c r="B4" s="29">
        <f>Configurazione!C6</f>
        <v>0</v>
      </c>
    </row>
    <row r="5" spans="1:12" x14ac:dyDescent="0.25">
      <c r="A5" s="27" t="s">
        <v>336</v>
      </c>
      <c r="B5" s="28">
        <f>Configurazione!C11</f>
        <v>0</v>
      </c>
    </row>
    <row r="6" spans="1:12" x14ac:dyDescent="0.25">
      <c r="A6" s="27" t="s">
        <v>337</v>
      </c>
      <c r="B6" s="28">
        <f>Configurazione!C12</f>
        <v>0</v>
      </c>
    </row>
    <row r="7" spans="1:12" x14ac:dyDescent="0.25">
      <c r="A7" s="27" t="s">
        <v>338</v>
      </c>
      <c r="B7" s="28">
        <f>Configurazione!C13</f>
        <v>0</v>
      </c>
    </row>
    <row r="8" spans="1:12" x14ac:dyDescent="0.25">
      <c r="A8" s="27" t="s">
        <v>339</v>
      </c>
      <c r="B8" s="29">
        <f>Configurazione!C7</f>
        <v>46158</v>
      </c>
    </row>
    <row r="10" spans="1:12" ht="15" customHeight="1" x14ac:dyDescent="0.25">
      <c r="A10" s="35" t="s">
        <v>340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x14ac:dyDescent="0.25">
      <c r="A11" s="23" t="s">
        <v>341</v>
      </c>
      <c r="B11" s="23" t="s">
        <v>313</v>
      </c>
      <c r="C11" s="23" t="s">
        <v>342</v>
      </c>
      <c r="D11" s="23" t="s">
        <v>343</v>
      </c>
      <c r="E11" s="23" t="s">
        <v>344</v>
      </c>
      <c r="F11" s="23" t="s">
        <v>345</v>
      </c>
      <c r="G11" s="23" t="s">
        <v>346</v>
      </c>
      <c r="H11" s="23" t="s">
        <v>347</v>
      </c>
      <c r="I11" s="23" t="s">
        <v>348</v>
      </c>
      <c r="J11" s="23" t="s">
        <v>349</v>
      </c>
    </row>
    <row r="12" spans="1:12" x14ac:dyDescent="0.25">
      <c r="A12" s="24" t="str">
        <f>Classificazione_Rischio!A3</f>
        <v>GRP-01</v>
      </c>
      <c r="B12" s="24">
        <f>Classificazione_Rischio!B3</f>
        <v>0</v>
      </c>
      <c r="C12" s="24">
        <f>Classificazione_Rischio!C3</f>
        <v>0</v>
      </c>
      <c r="D12" s="26" t="str">
        <f>Classificazione_Rischio!D3</f>
        <v/>
      </c>
      <c r="E12" s="25" t="str">
        <f>Classificazione_Rischio!E3</f>
        <v>N/D</v>
      </c>
      <c r="F12" s="26" t="str">
        <f>Classificazione_Rischio!F3</f>
        <v/>
      </c>
      <c r="G12" s="25" t="str">
        <f>Classificazione_Rischio!G3</f>
        <v>N/A</v>
      </c>
      <c r="H12" s="25" t="str">
        <f>Classificazione_Rischio!I3</f>
        <v>N/D</v>
      </c>
      <c r="I12" s="24" t="str">
        <f>Classificazione_Rischio!J3</f>
        <v/>
      </c>
      <c r="J12" s="30"/>
    </row>
    <row r="13" spans="1:12" x14ac:dyDescent="0.25">
      <c r="A13" s="24" t="str">
        <f>Classificazione_Rischio!A4</f>
        <v>GRP-02</v>
      </c>
      <c r="B13" s="24">
        <f>Classificazione_Rischio!B4</f>
        <v>0</v>
      </c>
      <c r="C13" s="24">
        <f>Classificazione_Rischio!C4</f>
        <v>0</v>
      </c>
      <c r="D13" s="26" t="str">
        <f>Classificazione_Rischio!D4</f>
        <v/>
      </c>
      <c r="E13" s="25" t="str">
        <f>Classificazione_Rischio!E4</f>
        <v>N/D</v>
      </c>
      <c r="F13" s="26" t="str">
        <f>Classificazione_Rischio!F4</f>
        <v/>
      </c>
      <c r="G13" s="25" t="str">
        <f>Classificazione_Rischio!G4</f>
        <v>N/A</v>
      </c>
      <c r="H13" s="25" t="str">
        <f>Classificazione_Rischio!I4</f>
        <v>N/D</v>
      </c>
      <c r="I13" s="24" t="str">
        <f>Classificazione_Rischio!J4</f>
        <v/>
      </c>
      <c r="J13" s="30"/>
    </row>
    <row r="14" spans="1:12" x14ac:dyDescent="0.25">
      <c r="A14" s="24" t="str">
        <f>Classificazione_Rischio!A5</f>
        <v>GRP-03</v>
      </c>
      <c r="B14" s="24">
        <f>Classificazione_Rischio!B5</f>
        <v>0</v>
      </c>
      <c r="C14" s="24">
        <f>Classificazione_Rischio!C5</f>
        <v>0</v>
      </c>
      <c r="D14" s="26" t="str">
        <f>Classificazione_Rischio!D5</f>
        <v/>
      </c>
      <c r="E14" s="25" t="str">
        <f>Classificazione_Rischio!E5</f>
        <v>N/D</v>
      </c>
      <c r="F14" s="26" t="str">
        <f>Classificazione_Rischio!F5</f>
        <v/>
      </c>
      <c r="G14" s="25" t="str">
        <f>Classificazione_Rischio!G5</f>
        <v>N/A</v>
      </c>
      <c r="H14" s="25" t="str">
        <f>Classificazione_Rischio!I5</f>
        <v>N/D</v>
      </c>
      <c r="I14" s="24" t="str">
        <f>Classificazione_Rischio!J5</f>
        <v/>
      </c>
      <c r="J14" s="30"/>
    </row>
    <row r="15" spans="1:12" x14ac:dyDescent="0.25">
      <c r="A15" s="24" t="str">
        <f>Classificazione_Rischio!A6</f>
        <v>GRP-04</v>
      </c>
      <c r="B15" s="24">
        <f>Classificazione_Rischio!B6</f>
        <v>0</v>
      </c>
      <c r="C15" s="24">
        <f>Classificazione_Rischio!C6</f>
        <v>0</v>
      </c>
      <c r="D15" s="26" t="str">
        <f>Classificazione_Rischio!D6</f>
        <v/>
      </c>
      <c r="E15" s="25" t="str">
        <f>Classificazione_Rischio!E6</f>
        <v>N/D</v>
      </c>
      <c r="F15" s="26" t="str">
        <f>Classificazione_Rischio!F6</f>
        <v/>
      </c>
      <c r="G15" s="25" t="str">
        <f>Classificazione_Rischio!G6</f>
        <v>N/A</v>
      </c>
      <c r="H15" s="25" t="str">
        <f>Classificazione_Rischio!I6</f>
        <v>N/D</v>
      </c>
      <c r="I15" s="24" t="str">
        <f>Classificazione_Rischio!J6</f>
        <v/>
      </c>
      <c r="J15" s="30"/>
    </row>
    <row r="16" spans="1:12" x14ac:dyDescent="0.25">
      <c r="A16" s="24" t="str">
        <f>Classificazione_Rischio!A7</f>
        <v>GRP-05</v>
      </c>
      <c r="B16" s="24">
        <f>Classificazione_Rischio!B7</f>
        <v>0</v>
      </c>
      <c r="C16" s="24">
        <f>Classificazione_Rischio!C7</f>
        <v>0</v>
      </c>
      <c r="D16" s="26" t="str">
        <f>Classificazione_Rischio!D7</f>
        <v/>
      </c>
      <c r="E16" s="25" t="str">
        <f>Classificazione_Rischio!E7</f>
        <v>N/D</v>
      </c>
      <c r="F16" s="26" t="str">
        <f>Classificazione_Rischio!F7</f>
        <v/>
      </c>
      <c r="G16" s="25" t="str">
        <f>Classificazione_Rischio!G7</f>
        <v>N/A</v>
      </c>
      <c r="H16" s="25" t="str">
        <f>Classificazione_Rischio!I7</f>
        <v>N/D</v>
      </c>
      <c r="I16" s="24" t="str">
        <f>Classificazione_Rischio!J7</f>
        <v/>
      </c>
      <c r="J16" s="30"/>
    </row>
    <row r="17" spans="1:10" x14ac:dyDescent="0.25">
      <c r="A17" s="24" t="str">
        <f>Classificazione_Rischio!A8</f>
        <v>GRP-06</v>
      </c>
      <c r="B17" s="24">
        <f>Classificazione_Rischio!B8</f>
        <v>0</v>
      </c>
      <c r="C17" s="24">
        <f>Classificazione_Rischio!C8</f>
        <v>0</v>
      </c>
      <c r="D17" s="26" t="str">
        <f>Classificazione_Rischio!D8</f>
        <v/>
      </c>
      <c r="E17" s="25" t="str">
        <f>Classificazione_Rischio!E8</f>
        <v>N/D</v>
      </c>
      <c r="F17" s="26" t="str">
        <f>Classificazione_Rischio!F8</f>
        <v/>
      </c>
      <c r="G17" s="25" t="str">
        <f>Classificazione_Rischio!G8</f>
        <v>N/A</v>
      </c>
      <c r="H17" s="25" t="str">
        <f>Classificazione_Rischio!I8</f>
        <v>N/D</v>
      </c>
      <c r="I17" s="24" t="str">
        <f>Classificazione_Rischio!J8</f>
        <v/>
      </c>
      <c r="J17" s="30"/>
    </row>
    <row r="18" spans="1:10" x14ac:dyDescent="0.25">
      <c r="A18" s="24" t="str">
        <f>Classificazione_Rischio!A9</f>
        <v>GRP-07</v>
      </c>
      <c r="B18" s="24">
        <f>Classificazione_Rischio!B9</f>
        <v>0</v>
      </c>
      <c r="C18" s="24">
        <f>Classificazione_Rischio!C9</f>
        <v>0</v>
      </c>
      <c r="D18" s="26" t="str">
        <f>Classificazione_Rischio!D9</f>
        <v/>
      </c>
      <c r="E18" s="25" t="str">
        <f>Classificazione_Rischio!E9</f>
        <v>N/D</v>
      </c>
      <c r="F18" s="26" t="str">
        <f>Classificazione_Rischio!F9</f>
        <v/>
      </c>
      <c r="G18" s="25" t="str">
        <f>Classificazione_Rischio!G9</f>
        <v>N/A</v>
      </c>
      <c r="H18" s="25" t="str">
        <f>Classificazione_Rischio!I9</f>
        <v>N/D</v>
      </c>
      <c r="I18" s="24" t="str">
        <f>Classificazione_Rischio!J9</f>
        <v/>
      </c>
      <c r="J18" s="30"/>
    </row>
    <row r="19" spans="1:10" x14ac:dyDescent="0.25">
      <c r="A19" s="24" t="str">
        <f>Classificazione_Rischio!A10</f>
        <v>GRP-08</v>
      </c>
      <c r="B19" s="24">
        <f>Classificazione_Rischio!B10</f>
        <v>0</v>
      </c>
      <c r="C19" s="24">
        <f>Classificazione_Rischio!C10</f>
        <v>0</v>
      </c>
      <c r="D19" s="26" t="str">
        <f>Classificazione_Rischio!D10</f>
        <v/>
      </c>
      <c r="E19" s="25" t="str">
        <f>Classificazione_Rischio!E10</f>
        <v>N/D</v>
      </c>
      <c r="F19" s="26" t="str">
        <f>Classificazione_Rischio!F10</f>
        <v/>
      </c>
      <c r="G19" s="25" t="str">
        <f>Classificazione_Rischio!G10</f>
        <v>N/A</v>
      </c>
      <c r="H19" s="25" t="str">
        <f>Classificazione_Rischio!I10</f>
        <v>N/D</v>
      </c>
      <c r="I19" s="24" t="str">
        <f>Classificazione_Rischio!J10</f>
        <v/>
      </c>
      <c r="J19" s="30"/>
    </row>
    <row r="20" spans="1:10" x14ac:dyDescent="0.25">
      <c r="A20" s="24" t="str">
        <f>Classificazione_Rischio!A11</f>
        <v>GRP-09</v>
      </c>
      <c r="B20" s="24">
        <f>Classificazione_Rischio!B11</f>
        <v>0</v>
      </c>
      <c r="C20" s="24">
        <f>Classificazione_Rischio!C11</f>
        <v>0</v>
      </c>
      <c r="D20" s="26" t="str">
        <f>Classificazione_Rischio!D11</f>
        <v/>
      </c>
      <c r="E20" s="25" t="str">
        <f>Classificazione_Rischio!E11</f>
        <v>N/D</v>
      </c>
      <c r="F20" s="26" t="str">
        <f>Classificazione_Rischio!F11</f>
        <v/>
      </c>
      <c r="G20" s="25" t="str">
        <f>Classificazione_Rischio!G11</f>
        <v>N/A</v>
      </c>
      <c r="H20" s="25" t="str">
        <f>Classificazione_Rischio!I11</f>
        <v>N/D</v>
      </c>
      <c r="I20" s="24" t="str">
        <f>Classificazione_Rischio!J11</f>
        <v/>
      </c>
      <c r="J20" s="30"/>
    </row>
    <row r="21" spans="1:10" x14ac:dyDescent="0.25">
      <c r="A21" s="24" t="str">
        <f>Classificazione_Rischio!A12</f>
        <v>GRP-10</v>
      </c>
      <c r="B21" s="24">
        <f>Classificazione_Rischio!B12</f>
        <v>0</v>
      </c>
      <c r="C21" s="24">
        <f>Classificazione_Rischio!C12</f>
        <v>0</v>
      </c>
      <c r="D21" s="26" t="str">
        <f>Classificazione_Rischio!D12</f>
        <v/>
      </c>
      <c r="E21" s="25" t="str">
        <f>Classificazione_Rischio!E12</f>
        <v>N/D</v>
      </c>
      <c r="F21" s="26" t="str">
        <f>Classificazione_Rischio!F12</f>
        <v/>
      </c>
      <c r="G21" s="25" t="str">
        <f>Classificazione_Rischio!G12</f>
        <v>N/A</v>
      </c>
      <c r="H21" s="25" t="str">
        <f>Classificazione_Rischio!I12</f>
        <v>N/D</v>
      </c>
      <c r="I21" s="24" t="str">
        <f>Classificazione_Rischio!J12</f>
        <v/>
      </c>
      <c r="J21" s="30"/>
    </row>
    <row r="22" spans="1:10" x14ac:dyDescent="0.25">
      <c r="A22" s="24" t="str">
        <f>Classificazione_Rischio!A13</f>
        <v>GRP-11</v>
      </c>
      <c r="B22" s="24">
        <f>Classificazione_Rischio!B13</f>
        <v>0</v>
      </c>
      <c r="C22" s="24">
        <f>Classificazione_Rischio!C13</f>
        <v>0</v>
      </c>
      <c r="D22" s="26" t="str">
        <f>Classificazione_Rischio!D13</f>
        <v/>
      </c>
      <c r="E22" s="25" t="str">
        <f>Classificazione_Rischio!E13</f>
        <v>N/D</v>
      </c>
      <c r="F22" s="26" t="str">
        <f>Classificazione_Rischio!F13</f>
        <v/>
      </c>
      <c r="G22" s="25" t="str">
        <f>Classificazione_Rischio!G13</f>
        <v>N/A</v>
      </c>
      <c r="H22" s="25" t="str">
        <f>Classificazione_Rischio!I13</f>
        <v>N/D</v>
      </c>
      <c r="I22" s="24" t="str">
        <f>Classificazione_Rischio!J13</f>
        <v/>
      </c>
      <c r="J22" s="30"/>
    </row>
    <row r="23" spans="1:10" x14ac:dyDescent="0.25">
      <c r="A23" s="24" t="str">
        <f>Classificazione_Rischio!A14</f>
        <v>GRP-12</v>
      </c>
      <c r="B23" s="24">
        <f>Classificazione_Rischio!B14</f>
        <v>0</v>
      </c>
      <c r="C23" s="24">
        <f>Classificazione_Rischio!C14</f>
        <v>0</v>
      </c>
      <c r="D23" s="26" t="str">
        <f>Classificazione_Rischio!D14</f>
        <v/>
      </c>
      <c r="E23" s="25" t="str">
        <f>Classificazione_Rischio!E14</f>
        <v>N/D</v>
      </c>
      <c r="F23" s="26" t="str">
        <f>Classificazione_Rischio!F14</f>
        <v/>
      </c>
      <c r="G23" s="25" t="str">
        <f>Classificazione_Rischio!G14</f>
        <v>N/A</v>
      </c>
      <c r="H23" s="25" t="str">
        <f>Classificazione_Rischio!I14</f>
        <v>N/D</v>
      </c>
      <c r="I23" s="24" t="str">
        <f>Classificazione_Rischio!J14</f>
        <v/>
      </c>
      <c r="J23" s="30"/>
    </row>
    <row r="24" spans="1:10" x14ac:dyDescent="0.25">
      <c r="A24" s="24" t="str">
        <f>Classificazione_Rischio!A15</f>
        <v>GRP-13</v>
      </c>
      <c r="B24" s="24">
        <f>Classificazione_Rischio!B15</f>
        <v>0</v>
      </c>
      <c r="C24" s="24">
        <f>Classificazione_Rischio!C15</f>
        <v>0</v>
      </c>
      <c r="D24" s="26" t="str">
        <f>Classificazione_Rischio!D15</f>
        <v/>
      </c>
      <c r="E24" s="25" t="str">
        <f>Classificazione_Rischio!E15</f>
        <v>N/D</v>
      </c>
      <c r="F24" s="26" t="str">
        <f>Classificazione_Rischio!F15</f>
        <v/>
      </c>
      <c r="G24" s="25" t="str">
        <f>Classificazione_Rischio!G15</f>
        <v>N/A</v>
      </c>
      <c r="H24" s="25" t="str">
        <f>Classificazione_Rischio!I15</f>
        <v>N/D</v>
      </c>
      <c r="I24" s="24" t="str">
        <f>Classificazione_Rischio!J15</f>
        <v/>
      </c>
      <c r="J24" s="30"/>
    </row>
    <row r="25" spans="1:10" x14ac:dyDescent="0.25">
      <c r="A25" s="24" t="str">
        <f>Classificazione_Rischio!A16</f>
        <v>GRP-14</v>
      </c>
      <c r="B25" s="24">
        <f>Classificazione_Rischio!B16</f>
        <v>0</v>
      </c>
      <c r="C25" s="24">
        <f>Classificazione_Rischio!C16</f>
        <v>0</v>
      </c>
      <c r="D25" s="26" t="str">
        <f>Classificazione_Rischio!D16</f>
        <v/>
      </c>
      <c r="E25" s="25" t="str">
        <f>Classificazione_Rischio!E16</f>
        <v>N/D</v>
      </c>
      <c r="F25" s="26" t="str">
        <f>Classificazione_Rischio!F16</f>
        <v/>
      </c>
      <c r="G25" s="25" t="str">
        <f>Classificazione_Rischio!G16</f>
        <v>N/A</v>
      </c>
      <c r="H25" s="25" t="str">
        <f>Classificazione_Rischio!I16</f>
        <v>N/D</v>
      </c>
      <c r="I25" s="24" t="str">
        <f>Classificazione_Rischio!J16</f>
        <v/>
      </c>
      <c r="J25" s="30"/>
    </row>
    <row r="26" spans="1:10" x14ac:dyDescent="0.25">
      <c r="A26" s="24" t="str">
        <f>Classificazione_Rischio!A17</f>
        <v>GRP-15</v>
      </c>
      <c r="B26" s="24">
        <f>Classificazione_Rischio!B17</f>
        <v>0</v>
      </c>
      <c r="C26" s="24">
        <f>Classificazione_Rischio!C17</f>
        <v>0</v>
      </c>
      <c r="D26" s="26" t="str">
        <f>Classificazione_Rischio!D17</f>
        <v/>
      </c>
      <c r="E26" s="25" t="str">
        <f>Classificazione_Rischio!E17</f>
        <v>N/D</v>
      </c>
      <c r="F26" s="26" t="str">
        <f>Classificazione_Rischio!F17</f>
        <v/>
      </c>
      <c r="G26" s="25" t="str">
        <f>Classificazione_Rischio!G17</f>
        <v>N/A</v>
      </c>
      <c r="H26" s="25" t="str">
        <f>Classificazione_Rischio!I17</f>
        <v>N/D</v>
      </c>
      <c r="I26" s="24" t="str">
        <f>Classificazione_Rischio!J17</f>
        <v/>
      </c>
      <c r="J26" s="30"/>
    </row>
    <row r="27" spans="1:10" x14ac:dyDescent="0.25">
      <c r="A27" s="24" t="str">
        <f>Classificazione_Rischio!A18</f>
        <v>GRP-16</v>
      </c>
      <c r="B27" s="24">
        <f>Classificazione_Rischio!B18</f>
        <v>0</v>
      </c>
      <c r="C27" s="24">
        <f>Classificazione_Rischio!C18</f>
        <v>0</v>
      </c>
      <c r="D27" s="26" t="str">
        <f>Classificazione_Rischio!D18</f>
        <v/>
      </c>
      <c r="E27" s="25" t="str">
        <f>Classificazione_Rischio!E18</f>
        <v>N/D</v>
      </c>
      <c r="F27" s="26" t="str">
        <f>Classificazione_Rischio!F18</f>
        <v/>
      </c>
      <c r="G27" s="25" t="str">
        <f>Classificazione_Rischio!G18</f>
        <v>N/A</v>
      </c>
      <c r="H27" s="25" t="str">
        <f>Classificazione_Rischio!I18</f>
        <v>N/D</v>
      </c>
      <c r="I27" s="24" t="str">
        <f>Classificazione_Rischio!J18</f>
        <v/>
      </c>
      <c r="J27" s="30"/>
    </row>
    <row r="28" spans="1:10" x14ac:dyDescent="0.25">
      <c r="A28" s="24" t="str">
        <f>Classificazione_Rischio!A19</f>
        <v>GRP-17</v>
      </c>
      <c r="B28" s="24">
        <f>Classificazione_Rischio!B19</f>
        <v>0</v>
      </c>
      <c r="C28" s="24">
        <f>Classificazione_Rischio!C19</f>
        <v>0</v>
      </c>
      <c r="D28" s="26" t="str">
        <f>Classificazione_Rischio!D19</f>
        <v/>
      </c>
      <c r="E28" s="25" t="str">
        <f>Classificazione_Rischio!E19</f>
        <v>N/D</v>
      </c>
      <c r="F28" s="26" t="str">
        <f>Classificazione_Rischio!F19</f>
        <v/>
      </c>
      <c r="G28" s="25" t="str">
        <f>Classificazione_Rischio!G19</f>
        <v>N/A</v>
      </c>
      <c r="H28" s="25" t="str">
        <f>Classificazione_Rischio!I19</f>
        <v>N/D</v>
      </c>
      <c r="I28" s="24" t="str">
        <f>Classificazione_Rischio!J19</f>
        <v/>
      </c>
      <c r="J28" s="30"/>
    </row>
    <row r="29" spans="1:10" x14ac:dyDescent="0.25">
      <c r="A29" s="24" t="str">
        <f>Classificazione_Rischio!A20</f>
        <v>GRP-18</v>
      </c>
      <c r="B29" s="24">
        <f>Classificazione_Rischio!B20</f>
        <v>0</v>
      </c>
      <c r="C29" s="24">
        <f>Classificazione_Rischio!C20</f>
        <v>0</v>
      </c>
      <c r="D29" s="26" t="str">
        <f>Classificazione_Rischio!D20</f>
        <v/>
      </c>
      <c r="E29" s="25" t="str">
        <f>Classificazione_Rischio!E20</f>
        <v>N/D</v>
      </c>
      <c r="F29" s="26" t="str">
        <f>Classificazione_Rischio!F20</f>
        <v/>
      </c>
      <c r="G29" s="25" t="str">
        <f>Classificazione_Rischio!G20</f>
        <v>N/A</v>
      </c>
      <c r="H29" s="25" t="str">
        <f>Classificazione_Rischio!I20</f>
        <v>N/D</v>
      </c>
      <c r="I29" s="24" t="str">
        <f>Classificazione_Rischio!J20</f>
        <v/>
      </c>
      <c r="J29" s="30"/>
    </row>
    <row r="30" spans="1:10" x14ac:dyDescent="0.25">
      <c r="A30" s="24" t="str">
        <f>Classificazione_Rischio!A21</f>
        <v>GRP-19</v>
      </c>
      <c r="B30" s="24">
        <f>Classificazione_Rischio!B21</f>
        <v>0</v>
      </c>
      <c r="C30" s="24">
        <f>Classificazione_Rischio!C21</f>
        <v>0</v>
      </c>
      <c r="D30" s="26" t="str">
        <f>Classificazione_Rischio!D21</f>
        <v/>
      </c>
      <c r="E30" s="25" t="str">
        <f>Classificazione_Rischio!E21</f>
        <v>N/D</v>
      </c>
      <c r="F30" s="26" t="str">
        <f>Classificazione_Rischio!F21</f>
        <v/>
      </c>
      <c r="G30" s="25" t="str">
        <f>Classificazione_Rischio!G21</f>
        <v>N/A</v>
      </c>
      <c r="H30" s="25" t="str">
        <f>Classificazione_Rischio!I21</f>
        <v>N/D</v>
      </c>
      <c r="I30" s="24" t="str">
        <f>Classificazione_Rischio!J21</f>
        <v/>
      </c>
      <c r="J30" s="30"/>
    </row>
    <row r="31" spans="1:10" x14ac:dyDescent="0.25">
      <c r="A31" s="24" t="str">
        <f>Classificazione_Rischio!A22</f>
        <v>GRP-20</v>
      </c>
      <c r="B31" s="24">
        <f>Classificazione_Rischio!B22</f>
        <v>0</v>
      </c>
      <c r="C31" s="24">
        <f>Classificazione_Rischio!C22</f>
        <v>0</v>
      </c>
      <c r="D31" s="26" t="str">
        <f>Classificazione_Rischio!D22</f>
        <v/>
      </c>
      <c r="E31" s="25" t="str">
        <f>Classificazione_Rischio!E22</f>
        <v>N/D</v>
      </c>
      <c r="F31" s="26" t="str">
        <f>Classificazione_Rischio!F22</f>
        <v/>
      </c>
      <c r="G31" s="25" t="str">
        <f>Classificazione_Rischio!G22</f>
        <v>N/A</v>
      </c>
      <c r="H31" s="25" t="str">
        <f>Classificazione_Rischio!I22</f>
        <v>N/D</v>
      </c>
      <c r="I31" s="24" t="str">
        <f>Classificazione_Rischio!J22</f>
        <v/>
      </c>
      <c r="J31" s="30"/>
    </row>
    <row r="33" spans="1:10" ht="34.5" customHeight="1" x14ac:dyDescent="0.25">
      <c r="A33" s="43" t="s">
        <v>350</v>
      </c>
      <c r="B33" s="43"/>
      <c r="C33" s="43"/>
      <c r="D33" s="43"/>
      <c r="E33" s="43"/>
      <c r="F33" s="43"/>
      <c r="G33" s="43"/>
      <c r="H33" s="43"/>
      <c r="I33" s="43"/>
      <c r="J33" s="43"/>
    </row>
  </sheetData>
  <mergeCells count="5">
    <mergeCell ref="A1:L1"/>
    <mergeCell ref="A2:B2"/>
    <mergeCell ref="C2:F2"/>
    <mergeCell ref="A10:L10"/>
    <mergeCell ref="A33:J33"/>
  </mergeCells>
  <conditionalFormatting sqref="E12:E31">
    <cfRule type="cellIs" dxfId="11" priority="2" operator="equal">
      <formula>"Trascurabile"</formula>
    </cfRule>
    <cfRule type="cellIs" dxfId="10" priority="3" operator="equal">
      <formula>"TRASCURABILE"</formula>
    </cfRule>
    <cfRule type="cellIs" dxfId="9" priority="4" operator="equal">
      <formula>"Moderato"</formula>
    </cfRule>
    <cfRule type="cellIs" dxfId="8" priority="5" operator="equal">
      <formula>"MODERATO"</formula>
    </cfRule>
    <cfRule type="cellIs" dxfId="7" priority="6" operator="equal">
      <formula>"Rilevante"</formula>
    </cfRule>
    <cfRule type="cellIs" dxfId="6" priority="7" operator="equal">
      <formula>"RILEVANTE"</formula>
    </cfRule>
  </conditionalFormatting>
  <conditionalFormatting sqref="G12:H31">
    <cfRule type="cellIs" dxfId="5" priority="8" operator="equal">
      <formula>"Trascurabile"</formula>
    </cfRule>
    <cfRule type="cellIs" dxfId="4" priority="9" operator="equal">
      <formula>"TRASCURABILE"</formula>
    </cfRule>
    <cfRule type="cellIs" dxfId="3" priority="10" operator="equal">
      <formula>"Moderato"</formula>
    </cfRule>
    <cfRule type="cellIs" dxfId="2" priority="11" operator="equal">
      <formula>"MODERATO"</formula>
    </cfRule>
    <cfRule type="cellIs" dxfId="1" priority="12" operator="equal">
      <formula>"Rilevante"</formula>
    </cfRule>
    <cfRule type="cellIs" dxfId="0" priority="13" operator="equal">
      <formula>"RILEVANTE"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3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18" customWidth="1"/>
    <col min="2" max="2" width="14" customWidth="1"/>
    <col min="3" max="5" width="20" customWidth="1"/>
    <col min="6" max="6" width="30" customWidth="1"/>
  </cols>
  <sheetData>
    <row r="1" spans="1:6" ht="15" customHeight="1" x14ac:dyDescent="0.25">
      <c r="A1" s="40" t="s">
        <v>351</v>
      </c>
      <c r="B1" s="40"/>
      <c r="C1" s="40"/>
      <c r="D1" s="40"/>
      <c r="E1" s="40"/>
      <c r="F1" s="40"/>
    </row>
    <row r="2" spans="1:6" ht="30" customHeight="1" x14ac:dyDescent="0.25">
      <c r="A2" s="44" t="s">
        <v>352</v>
      </c>
      <c r="B2" s="44"/>
      <c r="C2" s="44"/>
      <c r="D2" s="44"/>
      <c r="E2" s="44"/>
      <c r="F2" s="44"/>
    </row>
    <row r="3" spans="1:6" x14ac:dyDescent="0.25">
      <c r="A3" s="23" t="s">
        <v>112</v>
      </c>
      <c r="B3" s="23" t="s">
        <v>83</v>
      </c>
      <c r="C3" s="23" t="s">
        <v>113</v>
      </c>
      <c r="D3" s="23" t="s">
        <v>353</v>
      </c>
      <c r="E3" s="23" t="s">
        <v>354</v>
      </c>
      <c r="F3" s="23" t="s">
        <v>355</v>
      </c>
    </row>
    <row r="4" spans="1:6" x14ac:dyDescent="0.25">
      <c r="A4" s="18" t="str">
        <f>DataEntry_Standard!A5</f>
        <v>COMP-001</v>
      </c>
      <c r="B4" s="18">
        <f>DataEntry_Standard!C5</f>
        <v>0</v>
      </c>
      <c r="C4" s="31">
        <f>DataEntry_Standard!B5</f>
        <v>0</v>
      </c>
      <c r="D4" s="18" t="str">
        <f>IF(DataEntry_SmartICT!C5&lt;&gt;"","Standard+SmartICT","Standard")</f>
        <v>Standard</v>
      </c>
      <c r="E4" s="18">
        <f>COUNTA(DataEntry_Standard!D5:AL5)</f>
        <v>0</v>
      </c>
      <c r="F4" s="18" t="str">
        <f t="shared" ref="F4:F35" ca="1" si="0">IF(A4&lt;&gt;"","LOG-"&amp;TEXT(ROW()-3,"000")&amp;"-"&amp;TEXT(TODAY(),"YYYYMMDD"),"")</f>
        <v>LOG-001-YYYY05DD</v>
      </c>
    </row>
    <row r="5" spans="1:6" x14ac:dyDescent="0.25">
      <c r="A5" s="18" t="str">
        <f>DataEntry_Standard!A6</f>
        <v>COMP-002</v>
      </c>
      <c r="B5" s="18">
        <f>DataEntry_Standard!C6</f>
        <v>0</v>
      </c>
      <c r="C5" s="31">
        <f>DataEntry_Standard!B6</f>
        <v>0</v>
      </c>
      <c r="D5" s="18" t="str">
        <f>IF(DataEntry_SmartICT!C6&lt;&gt;"","Standard+SmartICT","Standard")</f>
        <v>Standard</v>
      </c>
      <c r="E5" s="18">
        <f>COUNTA(DataEntry_Standard!D6:AL6)</f>
        <v>0</v>
      </c>
      <c r="F5" s="18" t="str">
        <f t="shared" ca="1" si="0"/>
        <v>LOG-002-YYYY05DD</v>
      </c>
    </row>
    <row r="6" spans="1:6" x14ac:dyDescent="0.25">
      <c r="A6" s="18" t="str">
        <f>DataEntry_Standard!A7</f>
        <v>COMP-003</v>
      </c>
      <c r="B6" s="18">
        <f>DataEntry_Standard!C7</f>
        <v>0</v>
      </c>
      <c r="C6" s="31">
        <f>DataEntry_Standard!B7</f>
        <v>0</v>
      </c>
      <c r="D6" s="18" t="str">
        <f>IF(DataEntry_SmartICT!C7&lt;&gt;"","Standard+SmartICT","Standard")</f>
        <v>Standard</v>
      </c>
      <c r="E6" s="18">
        <f>COUNTA(DataEntry_Standard!D7:AL7)</f>
        <v>0</v>
      </c>
      <c r="F6" s="18" t="str">
        <f t="shared" ca="1" si="0"/>
        <v>LOG-003-YYYY05DD</v>
      </c>
    </row>
    <row r="7" spans="1:6" x14ac:dyDescent="0.25">
      <c r="A7" s="18" t="str">
        <f>DataEntry_Standard!A8</f>
        <v>COMP-004</v>
      </c>
      <c r="B7" s="18">
        <f>DataEntry_Standard!C8</f>
        <v>0</v>
      </c>
      <c r="C7" s="31">
        <f>DataEntry_Standard!B8</f>
        <v>0</v>
      </c>
      <c r="D7" s="18" t="str">
        <f>IF(DataEntry_SmartICT!C8&lt;&gt;"","Standard+SmartICT","Standard")</f>
        <v>Standard</v>
      </c>
      <c r="E7" s="18">
        <f>COUNTA(DataEntry_Standard!D8:AL8)</f>
        <v>0</v>
      </c>
      <c r="F7" s="18" t="str">
        <f t="shared" ca="1" si="0"/>
        <v>LOG-004-YYYY05DD</v>
      </c>
    </row>
    <row r="8" spans="1:6" x14ac:dyDescent="0.25">
      <c r="A8" s="18" t="str">
        <f>DataEntry_Standard!A9</f>
        <v>COMP-005</v>
      </c>
      <c r="B8" s="18">
        <f>DataEntry_Standard!C9</f>
        <v>0</v>
      </c>
      <c r="C8" s="31">
        <f>DataEntry_Standard!B9</f>
        <v>0</v>
      </c>
      <c r="D8" s="18" t="str">
        <f>IF(DataEntry_SmartICT!C9&lt;&gt;"","Standard+SmartICT","Standard")</f>
        <v>Standard</v>
      </c>
      <c r="E8" s="18">
        <f>COUNTA(DataEntry_Standard!D9:AL9)</f>
        <v>0</v>
      </c>
      <c r="F8" s="18" t="str">
        <f t="shared" ca="1" si="0"/>
        <v>LOG-005-YYYY05DD</v>
      </c>
    </row>
    <row r="9" spans="1:6" x14ac:dyDescent="0.25">
      <c r="A9" s="18" t="str">
        <f>DataEntry_Standard!A10</f>
        <v>COMP-006</v>
      </c>
      <c r="B9" s="18">
        <f>DataEntry_Standard!C10</f>
        <v>0</v>
      </c>
      <c r="C9" s="31">
        <f>DataEntry_Standard!B10</f>
        <v>0</v>
      </c>
      <c r="D9" s="18" t="str">
        <f>IF(DataEntry_SmartICT!C10&lt;&gt;"","Standard+SmartICT","Standard")</f>
        <v>Standard</v>
      </c>
      <c r="E9" s="18">
        <f>COUNTA(DataEntry_Standard!D10:AL10)</f>
        <v>0</v>
      </c>
      <c r="F9" s="18" t="str">
        <f t="shared" ca="1" si="0"/>
        <v>LOG-006-YYYY05DD</v>
      </c>
    </row>
    <row r="10" spans="1:6" x14ac:dyDescent="0.25">
      <c r="A10" s="18" t="str">
        <f>DataEntry_Standard!A11</f>
        <v>COMP-007</v>
      </c>
      <c r="B10" s="18">
        <f>DataEntry_Standard!C11</f>
        <v>0</v>
      </c>
      <c r="C10" s="31">
        <f>DataEntry_Standard!B11</f>
        <v>0</v>
      </c>
      <c r="D10" s="18" t="str">
        <f>IF(DataEntry_SmartICT!C11&lt;&gt;"","Standard+SmartICT","Standard")</f>
        <v>Standard</v>
      </c>
      <c r="E10" s="18">
        <f>COUNTA(DataEntry_Standard!D11:AL11)</f>
        <v>0</v>
      </c>
      <c r="F10" s="18" t="str">
        <f t="shared" ca="1" si="0"/>
        <v>LOG-007-YYYY05DD</v>
      </c>
    </row>
    <row r="11" spans="1:6" x14ac:dyDescent="0.25">
      <c r="A11" s="18" t="str">
        <f>DataEntry_Standard!A12</f>
        <v>COMP-008</v>
      </c>
      <c r="B11" s="18">
        <f>DataEntry_Standard!C12</f>
        <v>0</v>
      </c>
      <c r="C11" s="31">
        <f>DataEntry_Standard!B12</f>
        <v>0</v>
      </c>
      <c r="D11" s="18" t="str">
        <f>IF(DataEntry_SmartICT!C12&lt;&gt;"","Standard+SmartICT","Standard")</f>
        <v>Standard</v>
      </c>
      <c r="E11" s="18">
        <f>COUNTA(DataEntry_Standard!D12:AL12)</f>
        <v>0</v>
      </c>
      <c r="F11" s="18" t="str">
        <f t="shared" ca="1" si="0"/>
        <v>LOG-008-YYYY05DD</v>
      </c>
    </row>
    <row r="12" spans="1:6" x14ac:dyDescent="0.25">
      <c r="A12" s="18" t="str">
        <f>DataEntry_Standard!A13</f>
        <v>COMP-009</v>
      </c>
      <c r="B12" s="18">
        <f>DataEntry_Standard!C13</f>
        <v>0</v>
      </c>
      <c r="C12" s="31">
        <f>DataEntry_Standard!B13</f>
        <v>0</v>
      </c>
      <c r="D12" s="18" t="str">
        <f>IF(DataEntry_SmartICT!C13&lt;&gt;"","Standard+SmartICT","Standard")</f>
        <v>Standard</v>
      </c>
      <c r="E12" s="18">
        <f>COUNTA(DataEntry_Standard!D13:AL13)</f>
        <v>0</v>
      </c>
      <c r="F12" s="18" t="str">
        <f t="shared" ca="1" si="0"/>
        <v>LOG-009-YYYY05DD</v>
      </c>
    </row>
    <row r="13" spans="1:6" x14ac:dyDescent="0.25">
      <c r="A13" s="18" t="str">
        <f>DataEntry_Standard!A14</f>
        <v>COMP-010</v>
      </c>
      <c r="B13" s="18">
        <f>DataEntry_Standard!C14</f>
        <v>0</v>
      </c>
      <c r="C13" s="31">
        <f>DataEntry_Standard!B14</f>
        <v>0</v>
      </c>
      <c r="D13" s="18" t="str">
        <f>IF(DataEntry_SmartICT!C14&lt;&gt;"","Standard+SmartICT","Standard")</f>
        <v>Standard</v>
      </c>
      <c r="E13" s="18">
        <f>COUNTA(DataEntry_Standard!D14:AL14)</f>
        <v>0</v>
      </c>
      <c r="F13" s="18" t="str">
        <f t="shared" ca="1" si="0"/>
        <v>LOG-010-YYYY05DD</v>
      </c>
    </row>
    <row r="14" spans="1:6" x14ac:dyDescent="0.25">
      <c r="A14" s="18" t="str">
        <f>DataEntry_Standard!A15</f>
        <v>COMP-011</v>
      </c>
      <c r="B14" s="18">
        <f>DataEntry_Standard!C15</f>
        <v>0</v>
      </c>
      <c r="C14" s="31">
        <f>DataEntry_Standard!B15</f>
        <v>0</v>
      </c>
      <c r="D14" s="18" t="str">
        <f>IF(DataEntry_SmartICT!C15&lt;&gt;"","Standard+SmartICT","Standard")</f>
        <v>Standard</v>
      </c>
      <c r="E14" s="18">
        <f>COUNTA(DataEntry_Standard!D15:AL15)</f>
        <v>0</v>
      </c>
      <c r="F14" s="18" t="str">
        <f t="shared" ca="1" si="0"/>
        <v>LOG-011-YYYY05DD</v>
      </c>
    </row>
    <row r="15" spans="1:6" x14ac:dyDescent="0.25">
      <c r="A15" s="18" t="str">
        <f>DataEntry_Standard!A16</f>
        <v>COMP-012</v>
      </c>
      <c r="B15" s="18">
        <f>DataEntry_Standard!C16</f>
        <v>0</v>
      </c>
      <c r="C15" s="31">
        <f>DataEntry_Standard!B16</f>
        <v>0</v>
      </c>
      <c r="D15" s="18" t="str">
        <f>IF(DataEntry_SmartICT!C16&lt;&gt;"","Standard+SmartICT","Standard")</f>
        <v>Standard</v>
      </c>
      <c r="E15" s="18">
        <f>COUNTA(DataEntry_Standard!D16:AL16)</f>
        <v>0</v>
      </c>
      <c r="F15" s="18" t="str">
        <f t="shared" ca="1" si="0"/>
        <v>LOG-012-YYYY05DD</v>
      </c>
    </row>
    <row r="16" spans="1:6" x14ac:dyDescent="0.25">
      <c r="A16" s="18" t="str">
        <f>DataEntry_Standard!A17</f>
        <v>COMP-013</v>
      </c>
      <c r="B16" s="18">
        <f>DataEntry_Standard!C17</f>
        <v>0</v>
      </c>
      <c r="C16" s="31">
        <f>DataEntry_Standard!B17</f>
        <v>0</v>
      </c>
      <c r="D16" s="18" t="str">
        <f>IF(DataEntry_SmartICT!C17&lt;&gt;"","Standard+SmartICT","Standard")</f>
        <v>Standard</v>
      </c>
      <c r="E16" s="18">
        <f>COUNTA(DataEntry_Standard!D17:AL17)</f>
        <v>0</v>
      </c>
      <c r="F16" s="18" t="str">
        <f t="shared" ca="1" si="0"/>
        <v>LOG-013-YYYY05DD</v>
      </c>
    </row>
    <row r="17" spans="1:6" x14ac:dyDescent="0.25">
      <c r="A17" s="18" t="str">
        <f>DataEntry_Standard!A18</f>
        <v>COMP-014</v>
      </c>
      <c r="B17" s="18">
        <f>DataEntry_Standard!C18</f>
        <v>0</v>
      </c>
      <c r="C17" s="31">
        <f>DataEntry_Standard!B18</f>
        <v>0</v>
      </c>
      <c r="D17" s="18" t="str">
        <f>IF(DataEntry_SmartICT!C18&lt;&gt;"","Standard+SmartICT","Standard")</f>
        <v>Standard</v>
      </c>
      <c r="E17" s="18">
        <f>COUNTA(DataEntry_Standard!D18:AL18)</f>
        <v>0</v>
      </c>
      <c r="F17" s="18" t="str">
        <f t="shared" ca="1" si="0"/>
        <v>LOG-014-YYYY05DD</v>
      </c>
    </row>
    <row r="18" spans="1:6" x14ac:dyDescent="0.25">
      <c r="A18" s="18" t="str">
        <f>DataEntry_Standard!A19</f>
        <v>COMP-015</v>
      </c>
      <c r="B18" s="18">
        <f>DataEntry_Standard!C19</f>
        <v>0</v>
      </c>
      <c r="C18" s="31">
        <f>DataEntry_Standard!B19</f>
        <v>0</v>
      </c>
      <c r="D18" s="18" t="str">
        <f>IF(DataEntry_SmartICT!C19&lt;&gt;"","Standard+SmartICT","Standard")</f>
        <v>Standard</v>
      </c>
      <c r="E18" s="18">
        <f>COUNTA(DataEntry_Standard!D19:AL19)</f>
        <v>0</v>
      </c>
      <c r="F18" s="18" t="str">
        <f t="shared" ca="1" si="0"/>
        <v>LOG-015-YYYY05DD</v>
      </c>
    </row>
    <row r="19" spans="1:6" x14ac:dyDescent="0.25">
      <c r="A19" s="18" t="str">
        <f>DataEntry_Standard!A20</f>
        <v>COMP-016</v>
      </c>
      <c r="B19" s="18">
        <f>DataEntry_Standard!C20</f>
        <v>0</v>
      </c>
      <c r="C19" s="31">
        <f>DataEntry_Standard!B20</f>
        <v>0</v>
      </c>
      <c r="D19" s="18" t="str">
        <f>IF(DataEntry_SmartICT!C20&lt;&gt;"","Standard+SmartICT","Standard")</f>
        <v>Standard</v>
      </c>
      <c r="E19" s="18">
        <f>COUNTA(DataEntry_Standard!D20:AL20)</f>
        <v>0</v>
      </c>
      <c r="F19" s="18" t="str">
        <f t="shared" ca="1" si="0"/>
        <v>LOG-016-YYYY05DD</v>
      </c>
    </row>
    <row r="20" spans="1:6" x14ac:dyDescent="0.25">
      <c r="A20" s="18" t="str">
        <f>DataEntry_Standard!A21</f>
        <v>COMP-017</v>
      </c>
      <c r="B20" s="18">
        <f>DataEntry_Standard!C21</f>
        <v>0</v>
      </c>
      <c r="C20" s="31">
        <f>DataEntry_Standard!B21</f>
        <v>0</v>
      </c>
      <c r="D20" s="18" t="str">
        <f>IF(DataEntry_SmartICT!C21&lt;&gt;"","Standard+SmartICT","Standard")</f>
        <v>Standard</v>
      </c>
      <c r="E20" s="18">
        <f>COUNTA(DataEntry_Standard!D21:AL21)</f>
        <v>0</v>
      </c>
      <c r="F20" s="18" t="str">
        <f t="shared" ca="1" si="0"/>
        <v>LOG-017-YYYY05DD</v>
      </c>
    </row>
    <row r="21" spans="1:6" x14ac:dyDescent="0.25">
      <c r="A21" s="18" t="str">
        <f>DataEntry_Standard!A22</f>
        <v>COMP-018</v>
      </c>
      <c r="B21" s="18">
        <f>DataEntry_Standard!C22</f>
        <v>0</v>
      </c>
      <c r="C21" s="31">
        <f>DataEntry_Standard!B22</f>
        <v>0</v>
      </c>
      <c r="D21" s="18" t="str">
        <f>IF(DataEntry_SmartICT!C22&lt;&gt;"","Standard+SmartICT","Standard")</f>
        <v>Standard</v>
      </c>
      <c r="E21" s="18">
        <f>COUNTA(DataEntry_Standard!D22:AL22)</f>
        <v>0</v>
      </c>
      <c r="F21" s="18" t="str">
        <f t="shared" ca="1" si="0"/>
        <v>LOG-018-YYYY05DD</v>
      </c>
    </row>
    <row r="22" spans="1:6" x14ac:dyDescent="0.25">
      <c r="A22" s="18" t="str">
        <f>DataEntry_Standard!A23</f>
        <v>COMP-019</v>
      </c>
      <c r="B22" s="18">
        <f>DataEntry_Standard!C23</f>
        <v>0</v>
      </c>
      <c r="C22" s="31">
        <f>DataEntry_Standard!B23</f>
        <v>0</v>
      </c>
      <c r="D22" s="18" t="str">
        <f>IF(DataEntry_SmartICT!C23&lt;&gt;"","Standard+SmartICT","Standard")</f>
        <v>Standard</v>
      </c>
      <c r="E22" s="18">
        <f>COUNTA(DataEntry_Standard!D23:AL23)</f>
        <v>0</v>
      </c>
      <c r="F22" s="18" t="str">
        <f t="shared" ca="1" si="0"/>
        <v>LOG-019-YYYY05DD</v>
      </c>
    </row>
    <row r="23" spans="1:6" x14ac:dyDescent="0.25">
      <c r="A23" s="18" t="str">
        <f>DataEntry_Standard!A24</f>
        <v>COMP-020</v>
      </c>
      <c r="B23" s="18">
        <f>DataEntry_Standard!C24</f>
        <v>0</v>
      </c>
      <c r="C23" s="31">
        <f>DataEntry_Standard!B24</f>
        <v>0</v>
      </c>
      <c r="D23" s="18" t="str">
        <f>IF(DataEntry_SmartICT!C24&lt;&gt;"","Standard+SmartICT","Standard")</f>
        <v>Standard</v>
      </c>
      <c r="E23" s="18">
        <f>COUNTA(DataEntry_Standard!D24:AL24)</f>
        <v>0</v>
      </c>
      <c r="F23" s="18" t="str">
        <f t="shared" ca="1" si="0"/>
        <v>LOG-020-YYYY05DD</v>
      </c>
    </row>
    <row r="24" spans="1:6" x14ac:dyDescent="0.25">
      <c r="A24" s="18" t="str">
        <f>DataEntry_Standard!A25</f>
        <v>COMP-021</v>
      </c>
      <c r="B24" s="18">
        <f>DataEntry_Standard!C25</f>
        <v>0</v>
      </c>
      <c r="C24" s="31">
        <f>DataEntry_Standard!B25</f>
        <v>0</v>
      </c>
      <c r="D24" s="18" t="str">
        <f>IF(DataEntry_SmartICT!C25&lt;&gt;"","Standard+SmartICT","Standard")</f>
        <v>Standard</v>
      </c>
      <c r="E24" s="18">
        <f>COUNTA(DataEntry_Standard!D25:AL25)</f>
        <v>0</v>
      </c>
      <c r="F24" s="18" t="str">
        <f t="shared" ca="1" si="0"/>
        <v>LOG-021-YYYY05DD</v>
      </c>
    </row>
    <row r="25" spans="1:6" x14ac:dyDescent="0.25">
      <c r="A25" s="18" t="str">
        <f>DataEntry_Standard!A26</f>
        <v>COMP-022</v>
      </c>
      <c r="B25" s="18">
        <f>DataEntry_Standard!C26</f>
        <v>0</v>
      </c>
      <c r="C25" s="31">
        <f>DataEntry_Standard!B26</f>
        <v>0</v>
      </c>
      <c r="D25" s="18" t="str">
        <f>IF(DataEntry_SmartICT!C26&lt;&gt;"","Standard+SmartICT","Standard")</f>
        <v>Standard</v>
      </c>
      <c r="E25" s="18">
        <f>COUNTA(DataEntry_Standard!D26:AL26)</f>
        <v>0</v>
      </c>
      <c r="F25" s="18" t="str">
        <f t="shared" ca="1" si="0"/>
        <v>LOG-022-YYYY05DD</v>
      </c>
    </row>
    <row r="26" spans="1:6" x14ac:dyDescent="0.25">
      <c r="A26" s="18" t="str">
        <f>DataEntry_Standard!A27</f>
        <v>COMP-023</v>
      </c>
      <c r="B26" s="18">
        <f>DataEntry_Standard!C27</f>
        <v>0</v>
      </c>
      <c r="C26" s="31">
        <f>DataEntry_Standard!B27</f>
        <v>0</v>
      </c>
      <c r="D26" s="18" t="str">
        <f>IF(DataEntry_SmartICT!C27&lt;&gt;"","Standard+SmartICT","Standard")</f>
        <v>Standard</v>
      </c>
      <c r="E26" s="18">
        <f>COUNTA(DataEntry_Standard!D27:AL27)</f>
        <v>0</v>
      </c>
      <c r="F26" s="18" t="str">
        <f t="shared" ca="1" si="0"/>
        <v>LOG-023-YYYY05DD</v>
      </c>
    </row>
    <row r="27" spans="1:6" x14ac:dyDescent="0.25">
      <c r="A27" s="18" t="str">
        <f>DataEntry_Standard!A28</f>
        <v>COMP-024</v>
      </c>
      <c r="B27" s="18">
        <f>DataEntry_Standard!C28</f>
        <v>0</v>
      </c>
      <c r="C27" s="31">
        <f>DataEntry_Standard!B28</f>
        <v>0</v>
      </c>
      <c r="D27" s="18" t="str">
        <f>IF(DataEntry_SmartICT!C28&lt;&gt;"","Standard+SmartICT","Standard")</f>
        <v>Standard</v>
      </c>
      <c r="E27" s="18">
        <f>COUNTA(DataEntry_Standard!D28:AL28)</f>
        <v>0</v>
      </c>
      <c r="F27" s="18" t="str">
        <f t="shared" ca="1" si="0"/>
        <v>LOG-024-YYYY05DD</v>
      </c>
    </row>
    <row r="28" spans="1:6" x14ac:dyDescent="0.25">
      <c r="A28" s="18" t="str">
        <f>DataEntry_Standard!A29</f>
        <v>COMP-025</v>
      </c>
      <c r="B28" s="18">
        <f>DataEntry_Standard!C29</f>
        <v>0</v>
      </c>
      <c r="C28" s="31">
        <f>DataEntry_Standard!B29</f>
        <v>0</v>
      </c>
      <c r="D28" s="18" t="str">
        <f>IF(DataEntry_SmartICT!C29&lt;&gt;"","Standard+SmartICT","Standard")</f>
        <v>Standard</v>
      </c>
      <c r="E28" s="18">
        <f>COUNTA(DataEntry_Standard!D29:AL29)</f>
        <v>0</v>
      </c>
      <c r="F28" s="18" t="str">
        <f t="shared" ca="1" si="0"/>
        <v>LOG-025-YYYY05DD</v>
      </c>
    </row>
    <row r="29" spans="1:6" x14ac:dyDescent="0.25">
      <c r="A29" s="18" t="str">
        <f>DataEntry_Standard!A30</f>
        <v>COMP-026</v>
      </c>
      <c r="B29" s="18">
        <f>DataEntry_Standard!C30</f>
        <v>0</v>
      </c>
      <c r="C29" s="31">
        <f>DataEntry_Standard!B30</f>
        <v>0</v>
      </c>
      <c r="D29" s="18" t="str">
        <f>IF(DataEntry_SmartICT!C30&lt;&gt;"","Standard+SmartICT","Standard")</f>
        <v>Standard</v>
      </c>
      <c r="E29" s="18">
        <f>COUNTA(DataEntry_Standard!D30:AL30)</f>
        <v>0</v>
      </c>
      <c r="F29" s="18" t="str">
        <f t="shared" ca="1" si="0"/>
        <v>LOG-026-YYYY05DD</v>
      </c>
    </row>
    <row r="30" spans="1:6" x14ac:dyDescent="0.25">
      <c r="A30" s="18" t="str">
        <f>DataEntry_Standard!A31</f>
        <v>COMP-027</v>
      </c>
      <c r="B30" s="18">
        <f>DataEntry_Standard!C31</f>
        <v>0</v>
      </c>
      <c r="C30" s="31">
        <f>DataEntry_Standard!B31</f>
        <v>0</v>
      </c>
      <c r="D30" s="18" t="str">
        <f>IF(DataEntry_SmartICT!C31&lt;&gt;"","Standard+SmartICT","Standard")</f>
        <v>Standard</v>
      </c>
      <c r="E30" s="18">
        <f>COUNTA(DataEntry_Standard!D31:AL31)</f>
        <v>0</v>
      </c>
      <c r="F30" s="18" t="str">
        <f t="shared" ca="1" si="0"/>
        <v>LOG-027-YYYY05DD</v>
      </c>
    </row>
    <row r="31" spans="1:6" x14ac:dyDescent="0.25">
      <c r="A31" s="18" t="str">
        <f>DataEntry_Standard!A32</f>
        <v>COMP-028</v>
      </c>
      <c r="B31" s="18">
        <f>DataEntry_Standard!C32</f>
        <v>0</v>
      </c>
      <c r="C31" s="31">
        <f>DataEntry_Standard!B32</f>
        <v>0</v>
      </c>
      <c r="D31" s="18" t="str">
        <f>IF(DataEntry_SmartICT!C32&lt;&gt;"","Standard+SmartICT","Standard")</f>
        <v>Standard</v>
      </c>
      <c r="E31" s="18">
        <f>COUNTA(DataEntry_Standard!D32:AL32)</f>
        <v>0</v>
      </c>
      <c r="F31" s="18" t="str">
        <f t="shared" ca="1" si="0"/>
        <v>LOG-028-YYYY05DD</v>
      </c>
    </row>
    <row r="32" spans="1:6" x14ac:dyDescent="0.25">
      <c r="A32" s="18" t="str">
        <f>DataEntry_Standard!A33</f>
        <v>COMP-029</v>
      </c>
      <c r="B32" s="18">
        <f>DataEntry_Standard!C33</f>
        <v>0</v>
      </c>
      <c r="C32" s="31">
        <f>DataEntry_Standard!B33</f>
        <v>0</v>
      </c>
      <c r="D32" s="18" t="str">
        <f>IF(DataEntry_SmartICT!C33&lt;&gt;"","Standard+SmartICT","Standard")</f>
        <v>Standard</v>
      </c>
      <c r="E32" s="18">
        <f>COUNTA(DataEntry_Standard!D33:AL33)</f>
        <v>0</v>
      </c>
      <c r="F32" s="18" t="str">
        <f t="shared" ca="1" si="0"/>
        <v>LOG-029-YYYY05DD</v>
      </c>
    </row>
    <row r="33" spans="1:6" x14ac:dyDescent="0.25">
      <c r="A33" s="18" t="str">
        <f>DataEntry_Standard!A34</f>
        <v>COMP-030</v>
      </c>
      <c r="B33" s="18">
        <f>DataEntry_Standard!C34</f>
        <v>0</v>
      </c>
      <c r="C33" s="31">
        <f>DataEntry_Standard!B34</f>
        <v>0</v>
      </c>
      <c r="D33" s="18" t="str">
        <f>IF(DataEntry_SmartICT!C34&lt;&gt;"","Standard+SmartICT","Standard")</f>
        <v>Standard</v>
      </c>
      <c r="E33" s="18">
        <f>COUNTA(DataEntry_Standard!D34:AL34)</f>
        <v>0</v>
      </c>
      <c r="F33" s="18" t="str">
        <f t="shared" ca="1" si="0"/>
        <v>LOG-030-YYYY05DD</v>
      </c>
    </row>
    <row r="34" spans="1:6" x14ac:dyDescent="0.25">
      <c r="A34" s="18" t="str">
        <f>DataEntry_Standard!A35</f>
        <v>COMP-031</v>
      </c>
      <c r="B34" s="18">
        <f>DataEntry_Standard!C35</f>
        <v>0</v>
      </c>
      <c r="C34" s="31">
        <f>DataEntry_Standard!B35</f>
        <v>0</v>
      </c>
      <c r="D34" s="18" t="str">
        <f>IF(DataEntry_SmartICT!C35&lt;&gt;"","Standard+SmartICT","Standard")</f>
        <v>Standard</v>
      </c>
      <c r="E34" s="18">
        <f>COUNTA(DataEntry_Standard!D35:AL35)</f>
        <v>0</v>
      </c>
      <c r="F34" s="18" t="str">
        <f t="shared" ca="1" si="0"/>
        <v>LOG-031-YYYY05DD</v>
      </c>
    </row>
    <row r="35" spans="1:6" x14ac:dyDescent="0.25">
      <c r="A35" s="18" t="str">
        <f>DataEntry_Standard!A36</f>
        <v>COMP-032</v>
      </c>
      <c r="B35" s="18">
        <f>DataEntry_Standard!C36</f>
        <v>0</v>
      </c>
      <c r="C35" s="31">
        <f>DataEntry_Standard!B36</f>
        <v>0</v>
      </c>
      <c r="D35" s="18" t="str">
        <f>IF(DataEntry_SmartICT!C36&lt;&gt;"","Standard+SmartICT","Standard")</f>
        <v>Standard</v>
      </c>
      <c r="E35" s="18">
        <f>COUNTA(DataEntry_Standard!D36:AL36)</f>
        <v>0</v>
      </c>
      <c r="F35" s="18" t="str">
        <f t="shared" ca="1" si="0"/>
        <v>LOG-032-YYYY05DD</v>
      </c>
    </row>
    <row r="36" spans="1:6" x14ac:dyDescent="0.25">
      <c r="A36" s="18" t="str">
        <f>DataEntry_Standard!A37</f>
        <v>COMP-033</v>
      </c>
      <c r="B36" s="18">
        <f>DataEntry_Standard!C37</f>
        <v>0</v>
      </c>
      <c r="C36" s="31">
        <f>DataEntry_Standard!B37</f>
        <v>0</v>
      </c>
      <c r="D36" s="18" t="str">
        <f>IF(DataEntry_SmartICT!C37&lt;&gt;"","Standard+SmartICT","Standard")</f>
        <v>Standard</v>
      </c>
      <c r="E36" s="18">
        <f>COUNTA(DataEntry_Standard!D37:AL37)</f>
        <v>0</v>
      </c>
      <c r="F36" s="18" t="str">
        <f t="shared" ref="F36:F53" ca="1" si="1">IF(A36&lt;&gt;"","LOG-"&amp;TEXT(ROW()-3,"000")&amp;"-"&amp;TEXT(TODAY(),"YYYYMMDD"),"")</f>
        <v>LOG-033-YYYY05DD</v>
      </c>
    </row>
    <row r="37" spans="1:6" x14ac:dyDescent="0.25">
      <c r="A37" s="18" t="str">
        <f>DataEntry_Standard!A38</f>
        <v>COMP-034</v>
      </c>
      <c r="B37" s="18">
        <f>DataEntry_Standard!C38</f>
        <v>0</v>
      </c>
      <c r="C37" s="31">
        <f>DataEntry_Standard!B38</f>
        <v>0</v>
      </c>
      <c r="D37" s="18" t="str">
        <f>IF(DataEntry_SmartICT!C38&lt;&gt;"","Standard+SmartICT","Standard")</f>
        <v>Standard</v>
      </c>
      <c r="E37" s="18">
        <f>COUNTA(DataEntry_Standard!D38:AL38)</f>
        <v>0</v>
      </c>
      <c r="F37" s="18" t="str">
        <f t="shared" ca="1" si="1"/>
        <v>LOG-034-YYYY05DD</v>
      </c>
    </row>
    <row r="38" spans="1:6" x14ac:dyDescent="0.25">
      <c r="A38" s="18" t="str">
        <f>DataEntry_Standard!A39</f>
        <v>COMP-035</v>
      </c>
      <c r="B38" s="18">
        <f>DataEntry_Standard!C39</f>
        <v>0</v>
      </c>
      <c r="C38" s="31">
        <f>DataEntry_Standard!B39</f>
        <v>0</v>
      </c>
      <c r="D38" s="18" t="str">
        <f>IF(DataEntry_SmartICT!C39&lt;&gt;"","Standard+SmartICT","Standard")</f>
        <v>Standard</v>
      </c>
      <c r="E38" s="18">
        <f>COUNTA(DataEntry_Standard!D39:AL39)</f>
        <v>0</v>
      </c>
      <c r="F38" s="18" t="str">
        <f t="shared" ca="1" si="1"/>
        <v>LOG-035-YYYY05DD</v>
      </c>
    </row>
    <row r="39" spans="1:6" x14ac:dyDescent="0.25">
      <c r="A39" s="18" t="str">
        <f>DataEntry_Standard!A40</f>
        <v>COMP-036</v>
      </c>
      <c r="B39" s="18">
        <f>DataEntry_Standard!C40</f>
        <v>0</v>
      </c>
      <c r="C39" s="31">
        <f>DataEntry_Standard!B40</f>
        <v>0</v>
      </c>
      <c r="D39" s="18" t="str">
        <f>IF(DataEntry_SmartICT!C40&lt;&gt;"","Standard+SmartICT","Standard")</f>
        <v>Standard</v>
      </c>
      <c r="E39" s="18">
        <f>COUNTA(DataEntry_Standard!D40:AL40)</f>
        <v>0</v>
      </c>
      <c r="F39" s="18" t="str">
        <f t="shared" ca="1" si="1"/>
        <v>LOG-036-YYYY05DD</v>
      </c>
    </row>
    <row r="40" spans="1:6" x14ac:dyDescent="0.25">
      <c r="A40" s="18" t="str">
        <f>DataEntry_Standard!A41</f>
        <v>COMP-037</v>
      </c>
      <c r="B40" s="18">
        <f>DataEntry_Standard!C41</f>
        <v>0</v>
      </c>
      <c r="C40" s="31">
        <f>DataEntry_Standard!B41</f>
        <v>0</v>
      </c>
      <c r="D40" s="18" t="str">
        <f>IF(DataEntry_SmartICT!C41&lt;&gt;"","Standard+SmartICT","Standard")</f>
        <v>Standard</v>
      </c>
      <c r="E40" s="18">
        <f>COUNTA(DataEntry_Standard!D41:AL41)</f>
        <v>0</v>
      </c>
      <c r="F40" s="18" t="str">
        <f t="shared" ca="1" si="1"/>
        <v>LOG-037-YYYY05DD</v>
      </c>
    </row>
    <row r="41" spans="1:6" x14ac:dyDescent="0.25">
      <c r="A41" s="18" t="str">
        <f>DataEntry_Standard!A42</f>
        <v>COMP-038</v>
      </c>
      <c r="B41" s="18">
        <f>DataEntry_Standard!C42</f>
        <v>0</v>
      </c>
      <c r="C41" s="31">
        <f>DataEntry_Standard!B42</f>
        <v>0</v>
      </c>
      <c r="D41" s="18" t="str">
        <f>IF(DataEntry_SmartICT!C42&lt;&gt;"","Standard+SmartICT","Standard")</f>
        <v>Standard</v>
      </c>
      <c r="E41" s="18">
        <f>COUNTA(DataEntry_Standard!D42:AL42)</f>
        <v>0</v>
      </c>
      <c r="F41" s="18" t="str">
        <f t="shared" ca="1" si="1"/>
        <v>LOG-038-YYYY05DD</v>
      </c>
    </row>
    <row r="42" spans="1:6" x14ac:dyDescent="0.25">
      <c r="A42" s="18" t="str">
        <f>DataEntry_Standard!A43</f>
        <v>COMP-039</v>
      </c>
      <c r="B42" s="18">
        <f>DataEntry_Standard!C43</f>
        <v>0</v>
      </c>
      <c r="C42" s="31">
        <f>DataEntry_Standard!B43</f>
        <v>0</v>
      </c>
      <c r="D42" s="18" t="str">
        <f>IF(DataEntry_SmartICT!C43&lt;&gt;"","Standard+SmartICT","Standard")</f>
        <v>Standard</v>
      </c>
      <c r="E42" s="18">
        <f>COUNTA(DataEntry_Standard!D43:AL43)</f>
        <v>0</v>
      </c>
      <c r="F42" s="18" t="str">
        <f t="shared" ca="1" si="1"/>
        <v>LOG-039-YYYY05DD</v>
      </c>
    </row>
    <row r="43" spans="1:6" x14ac:dyDescent="0.25">
      <c r="A43" s="18" t="str">
        <f>DataEntry_Standard!A44</f>
        <v>COMP-040</v>
      </c>
      <c r="B43" s="18">
        <f>DataEntry_Standard!C44</f>
        <v>0</v>
      </c>
      <c r="C43" s="31">
        <f>DataEntry_Standard!B44</f>
        <v>0</v>
      </c>
      <c r="D43" s="18" t="str">
        <f>IF(DataEntry_SmartICT!C44&lt;&gt;"","Standard+SmartICT","Standard")</f>
        <v>Standard</v>
      </c>
      <c r="E43" s="18">
        <f>COUNTA(DataEntry_Standard!D44:AL44)</f>
        <v>0</v>
      </c>
      <c r="F43" s="18" t="str">
        <f t="shared" ca="1" si="1"/>
        <v>LOG-040-YYYY05DD</v>
      </c>
    </row>
    <row r="44" spans="1:6" x14ac:dyDescent="0.25">
      <c r="A44" s="18" t="str">
        <f>DataEntry_Standard!A45</f>
        <v>COMP-041</v>
      </c>
      <c r="B44" s="18">
        <f>DataEntry_Standard!C45</f>
        <v>0</v>
      </c>
      <c r="C44" s="31">
        <f>DataEntry_Standard!B45</f>
        <v>0</v>
      </c>
      <c r="D44" s="18" t="str">
        <f>IF(DataEntry_SmartICT!C45&lt;&gt;"","Standard+SmartICT","Standard")</f>
        <v>Standard</v>
      </c>
      <c r="E44" s="18">
        <f>COUNTA(DataEntry_Standard!D45:AL45)</f>
        <v>0</v>
      </c>
      <c r="F44" s="18" t="str">
        <f t="shared" ca="1" si="1"/>
        <v>LOG-041-YYYY05DD</v>
      </c>
    </row>
    <row r="45" spans="1:6" x14ac:dyDescent="0.25">
      <c r="A45" s="18" t="str">
        <f>DataEntry_Standard!A46</f>
        <v>COMP-042</v>
      </c>
      <c r="B45" s="18">
        <f>DataEntry_Standard!C46</f>
        <v>0</v>
      </c>
      <c r="C45" s="31">
        <f>DataEntry_Standard!B46</f>
        <v>0</v>
      </c>
      <c r="D45" s="18" t="str">
        <f>IF(DataEntry_SmartICT!C46&lt;&gt;"","Standard+SmartICT","Standard")</f>
        <v>Standard</v>
      </c>
      <c r="E45" s="18">
        <f>COUNTA(DataEntry_Standard!D46:AL46)</f>
        <v>0</v>
      </c>
      <c r="F45" s="18" t="str">
        <f t="shared" ca="1" si="1"/>
        <v>LOG-042-YYYY05DD</v>
      </c>
    </row>
    <row r="46" spans="1:6" x14ac:dyDescent="0.25">
      <c r="A46" s="18" t="str">
        <f>DataEntry_Standard!A47</f>
        <v>COMP-043</v>
      </c>
      <c r="B46" s="18">
        <f>DataEntry_Standard!C47</f>
        <v>0</v>
      </c>
      <c r="C46" s="31">
        <f>DataEntry_Standard!B47</f>
        <v>0</v>
      </c>
      <c r="D46" s="18" t="str">
        <f>IF(DataEntry_SmartICT!C47&lt;&gt;"","Standard+SmartICT","Standard")</f>
        <v>Standard</v>
      </c>
      <c r="E46" s="18">
        <f>COUNTA(DataEntry_Standard!D47:AL47)</f>
        <v>0</v>
      </c>
      <c r="F46" s="18" t="str">
        <f t="shared" ca="1" si="1"/>
        <v>LOG-043-YYYY05DD</v>
      </c>
    </row>
    <row r="47" spans="1:6" x14ac:dyDescent="0.25">
      <c r="A47" s="18" t="str">
        <f>DataEntry_Standard!A48</f>
        <v>COMP-044</v>
      </c>
      <c r="B47" s="18">
        <f>DataEntry_Standard!C48</f>
        <v>0</v>
      </c>
      <c r="C47" s="31">
        <f>DataEntry_Standard!B48</f>
        <v>0</v>
      </c>
      <c r="D47" s="18" t="str">
        <f>IF(DataEntry_SmartICT!C48&lt;&gt;"","Standard+SmartICT","Standard")</f>
        <v>Standard</v>
      </c>
      <c r="E47" s="18">
        <f>COUNTA(DataEntry_Standard!D48:AL48)</f>
        <v>0</v>
      </c>
      <c r="F47" s="18" t="str">
        <f t="shared" ca="1" si="1"/>
        <v>LOG-044-YYYY05DD</v>
      </c>
    </row>
    <row r="48" spans="1:6" x14ac:dyDescent="0.25">
      <c r="A48" s="18" t="str">
        <f>DataEntry_Standard!A49</f>
        <v>COMP-045</v>
      </c>
      <c r="B48" s="18">
        <f>DataEntry_Standard!C49</f>
        <v>0</v>
      </c>
      <c r="C48" s="31">
        <f>DataEntry_Standard!B49</f>
        <v>0</v>
      </c>
      <c r="D48" s="18" t="str">
        <f>IF(DataEntry_SmartICT!C49&lt;&gt;"","Standard+SmartICT","Standard")</f>
        <v>Standard</v>
      </c>
      <c r="E48" s="18">
        <f>COUNTA(DataEntry_Standard!D49:AL49)</f>
        <v>0</v>
      </c>
      <c r="F48" s="18" t="str">
        <f t="shared" ca="1" si="1"/>
        <v>LOG-045-YYYY05DD</v>
      </c>
    </row>
    <row r="49" spans="1:6" x14ac:dyDescent="0.25">
      <c r="A49" s="18" t="str">
        <f>DataEntry_Standard!A50</f>
        <v>COMP-046</v>
      </c>
      <c r="B49" s="18">
        <f>DataEntry_Standard!C50</f>
        <v>0</v>
      </c>
      <c r="C49" s="31">
        <f>DataEntry_Standard!B50</f>
        <v>0</v>
      </c>
      <c r="D49" s="18" t="str">
        <f>IF(DataEntry_SmartICT!C50&lt;&gt;"","Standard+SmartICT","Standard")</f>
        <v>Standard</v>
      </c>
      <c r="E49" s="18">
        <f>COUNTA(DataEntry_Standard!D50:AL50)</f>
        <v>0</v>
      </c>
      <c r="F49" s="18" t="str">
        <f t="shared" ca="1" si="1"/>
        <v>LOG-046-YYYY05DD</v>
      </c>
    </row>
    <row r="50" spans="1:6" x14ac:dyDescent="0.25">
      <c r="A50" s="18" t="str">
        <f>DataEntry_Standard!A51</f>
        <v>COMP-047</v>
      </c>
      <c r="B50" s="18">
        <f>DataEntry_Standard!C51</f>
        <v>0</v>
      </c>
      <c r="C50" s="31">
        <f>DataEntry_Standard!B51</f>
        <v>0</v>
      </c>
      <c r="D50" s="18" t="str">
        <f>IF(DataEntry_SmartICT!C51&lt;&gt;"","Standard+SmartICT","Standard")</f>
        <v>Standard</v>
      </c>
      <c r="E50" s="18">
        <f>COUNTA(DataEntry_Standard!D51:AL51)</f>
        <v>0</v>
      </c>
      <c r="F50" s="18" t="str">
        <f t="shared" ca="1" si="1"/>
        <v>LOG-047-YYYY05DD</v>
      </c>
    </row>
    <row r="51" spans="1:6" x14ac:dyDescent="0.25">
      <c r="A51" s="18" t="str">
        <f>DataEntry_Standard!A52</f>
        <v>COMP-048</v>
      </c>
      <c r="B51" s="18">
        <f>DataEntry_Standard!C52</f>
        <v>0</v>
      </c>
      <c r="C51" s="31">
        <f>DataEntry_Standard!B52</f>
        <v>0</v>
      </c>
      <c r="D51" s="18" t="str">
        <f>IF(DataEntry_SmartICT!C52&lt;&gt;"","Standard+SmartICT","Standard")</f>
        <v>Standard</v>
      </c>
      <c r="E51" s="18">
        <f>COUNTA(DataEntry_Standard!D52:AL52)</f>
        <v>0</v>
      </c>
      <c r="F51" s="18" t="str">
        <f t="shared" ca="1" si="1"/>
        <v>LOG-048-YYYY05DD</v>
      </c>
    </row>
    <row r="52" spans="1:6" x14ac:dyDescent="0.25">
      <c r="A52" s="18" t="str">
        <f>DataEntry_Standard!A53</f>
        <v>COMP-049</v>
      </c>
      <c r="B52" s="18">
        <f>DataEntry_Standard!C53</f>
        <v>0</v>
      </c>
      <c r="C52" s="31">
        <f>DataEntry_Standard!B53</f>
        <v>0</v>
      </c>
      <c r="D52" s="18" t="str">
        <f>IF(DataEntry_SmartICT!C53&lt;&gt;"","Standard+SmartICT","Standard")</f>
        <v>Standard</v>
      </c>
      <c r="E52" s="18">
        <f>COUNTA(DataEntry_Standard!D53:AL53)</f>
        <v>0</v>
      </c>
      <c r="F52" s="18" t="str">
        <f t="shared" ca="1" si="1"/>
        <v>LOG-049-YYYY05DD</v>
      </c>
    </row>
    <row r="53" spans="1:6" x14ac:dyDescent="0.25">
      <c r="A53" s="18" t="str">
        <f>DataEntry_Standard!A54</f>
        <v>COMP-050</v>
      </c>
      <c r="B53" s="18">
        <f>DataEntry_Standard!C54</f>
        <v>0</v>
      </c>
      <c r="C53" s="31">
        <f>DataEntry_Standard!B54</f>
        <v>0</v>
      </c>
      <c r="D53" s="18" t="str">
        <f>IF(DataEntry_SmartICT!C54&lt;&gt;"","Standard+SmartICT","Standard")</f>
        <v>Standard</v>
      </c>
      <c r="E53" s="18">
        <f>COUNTA(DataEntry_Standard!D54:AL54)</f>
        <v>0</v>
      </c>
      <c r="F53" s="18" t="str">
        <f t="shared" ca="1" si="1"/>
        <v>LOG-050-YYYY05DD</v>
      </c>
    </row>
  </sheetData>
  <sheetProtection password="D122" sheet="1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README_Istruzioni</vt:lpstr>
      <vt:lpstr>Configurazione</vt:lpstr>
      <vt:lpstr>Gruppi_Omogenei</vt:lpstr>
      <vt:lpstr>DataEntry_Standard</vt:lpstr>
      <vt:lpstr>DataEntry_SmartICT</vt:lpstr>
      <vt:lpstr>Calcolo_Punteggi</vt:lpstr>
      <vt:lpstr>Aggregazione_Gruppi</vt:lpstr>
      <vt:lpstr>Classificazione_Rischio</vt:lpstr>
      <vt:lpstr>Report_Risultati</vt:lpstr>
      <vt:lpstr>Privacy_Log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DELL-LATITUDE</cp:lastModifiedBy>
  <cp:revision>0</cp:revision>
  <dcterms:created xsi:type="dcterms:W3CDTF">2026-05-16T09:55:29Z</dcterms:created>
  <dcterms:modified xsi:type="dcterms:W3CDTF">2026-05-16T12:54:10Z</dcterms:modified>
  <dc:language>en-US</dc:language>
</cp:coreProperties>
</file>